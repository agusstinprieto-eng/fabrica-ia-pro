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orac\OneDrive\HA MEEM\"/>
    </mc:Choice>
  </mc:AlternateContent>
  <xr:revisionPtr revIDLastSave="0" documentId="13_ncr:1_{C5AF5596-1D54-4DBB-BEAE-5DB349BC895C}" xr6:coauthVersionLast="47" xr6:coauthVersionMax="47" xr10:uidLastSave="{00000000-0000-0000-0000-000000000000}"/>
  <bookViews>
    <workbookView xWindow="-90" yWindow="-90" windowWidth="19380" windowHeight="10260" tabRatio="599" xr2:uid="{00000000-000D-0000-FFFF-FFFF00000000}"/>
  </bookViews>
  <sheets>
    <sheet name="NON -BALANCING" sheetId="26" r:id="rId1"/>
    <sheet name="Sheet1" sheetId="27" r:id="rId2"/>
  </sheets>
  <definedNames>
    <definedName name="_xlnm._FilterDatabase" localSheetId="0" hidden="1">'NON -BALANCING'!$B$8:$C$76</definedName>
    <definedName name="_xlnm.Print_Area" localSheetId="0">'NON -BALANCING'!$A$1:$U$191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54" i="26" l="1"/>
  <c r="A154" i="26"/>
  <c r="B155" i="26"/>
  <c r="K63" i="26"/>
  <c r="L63" i="26" s="1"/>
  <c r="M63" i="26" s="1"/>
  <c r="N63" i="26" l="1"/>
  <c r="P63" i="26" s="1"/>
  <c r="U63" i="26"/>
  <c r="G154" i="26" s="1"/>
  <c r="A111" i="26"/>
  <c r="A112" i="26"/>
  <c r="A113" i="26"/>
  <c r="A114" i="26"/>
  <c r="A115" i="26"/>
  <c r="A116" i="26"/>
  <c r="A117" i="26"/>
  <c r="A118" i="26"/>
  <c r="A119" i="26"/>
  <c r="A120" i="26"/>
  <c r="A121" i="26"/>
  <c r="A122" i="26"/>
  <c r="A123" i="26"/>
  <c r="A124" i="26"/>
  <c r="A125" i="26"/>
  <c r="A126" i="26"/>
  <c r="A127" i="26"/>
  <c r="A128" i="26"/>
  <c r="A129" i="26"/>
  <c r="A130" i="26"/>
  <c r="A131" i="26"/>
  <c r="A132" i="26"/>
  <c r="A133" i="26"/>
  <c r="A134" i="26"/>
  <c r="A135" i="26"/>
  <c r="A136" i="26"/>
  <c r="A137" i="26"/>
  <c r="A138" i="26"/>
  <c r="A139" i="26"/>
  <c r="A140" i="26"/>
  <c r="A141" i="26"/>
  <c r="A142" i="26"/>
  <c r="A143" i="26"/>
  <c r="A144" i="26"/>
  <c r="A145" i="26"/>
  <c r="A146" i="26"/>
  <c r="A147" i="26"/>
  <c r="A148" i="26"/>
  <c r="A149" i="26"/>
  <c r="A150" i="26"/>
  <c r="A151" i="26"/>
  <c r="A152" i="26"/>
  <c r="A153" i="26"/>
  <c r="A155" i="26"/>
  <c r="A156" i="26"/>
  <c r="A157" i="26"/>
  <c r="A158" i="26"/>
  <c r="A159" i="26"/>
  <c r="A160" i="26"/>
  <c r="B111" i="26"/>
  <c r="B112" i="26"/>
  <c r="B113" i="26"/>
  <c r="B114" i="26"/>
  <c r="B115" i="26"/>
  <c r="B116" i="26"/>
  <c r="B117" i="26"/>
  <c r="B118" i="26"/>
  <c r="B119" i="26"/>
  <c r="B120" i="26"/>
  <c r="B121" i="26"/>
  <c r="B122" i="26"/>
  <c r="B123" i="26"/>
  <c r="B124" i="26"/>
  <c r="B125" i="26"/>
  <c r="B126" i="26"/>
  <c r="B127" i="26"/>
  <c r="B128" i="26"/>
  <c r="B129" i="26"/>
  <c r="B130" i="26"/>
  <c r="B131" i="26"/>
  <c r="B132" i="26"/>
  <c r="B133" i="26"/>
  <c r="B134" i="26"/>
  <c r="B135" i="26"/>
  <c r="B136" i="26"/>
  <c r="B137" i="26"/>
  <c r="B138" i="26"/>
  <c r="B139" i="26"/>
  <c r="B140" i="26"/>
  <c r="B141" i="26"/>
  <c r="B142" i="26"/>
  <c r="B143" i="26"/>
  <c r="B144" i="26"/>
  <c r="B145" i="26"/>
  <c r="B146" i="26"/>
  <c r="B147" i="26"/>
  <c r="B148" i="26"/>
  <c r="B149" i="26"/>
  <c r="B150" i="26"/>
  <c r="B151" i="26"/>
  <c r="B152" i="26"/>
  <c r="B153" i="26"/>
  <c r="B156" i="26"/>
  <c r="B157" i="26"/>
  <c r="B158" i="26"/>
  <c r="B159" i="26"/>
  <c r="B160" i="26"/>
  <c r="K68" i="26"/>
  <c r="L68" i="26" s="1"/>
  <c r="M68" i="26" s="1"/>
  <c r="U68" i="26" s="1"/>
  <c r="G159" i="26" s="1"/>
  <c r="N68" i="26" l="1"/>
  <c r="P68" i="26" s="1"/>
  <c r="T5" i="26"/>
  <c r="B110" i="26" l="1"/>
  <c r="A110" i="26"/>
  <c r="M74" i="26"/>
  <c r="C74" i="26"/>
  <c r="P73" i="26"/>
  <c r="I6" i="26" s="1"/>
  <c r="F73" i="26"/>
  <c r="O70" i="26"/>
  <c r="K69" i="26"/>
  <c r="L69" i="26" s="1"/>
  <c r="K67" i="26"/>
  <c r="L67" i="26" s="1"/>
  <c r="M67" i="26" s="1"/>
  <c r="U67" i="26" s="1"/>
  <c r="G158" i="26" s="1"/>
  <c r="K66" i="26"/>
  <c r="L66" i="26" s="1"/>
  <c r="K65" i="26"/>
  <c r="L65" i="26" s="1"/>
  <c r="M65" i="26" s="1"/>
  <c r="U65" i="26" s="1"/>
  <c r="G156" i="26" s="1"/>
  <c r="K64" i="26"/>
  <c r="L64" i="26" s="1"/>
  <c r="K62" i="26"/>
  <c r="L62" i="26" s="1"/>
  <c r="M62" i="26" s="1"/>
  <c r="K61" i="26"/>
  <c r="L61" i="26" s="1"/>
  <c r="K60" i="26"/>
  <c r="L60" i="26" s="1"/>
  <c r="K59" i="26"/>
  <c r="L59" i="26" s="1"/>
  <c r="M59" i="26" s="1"/>
  <c r="U59" i="26" s="1"/>
  <c r="G151" i="26" s="1"/>
  <c r="K58" i="26"/>
  <c r="L58" i="26" s="1"/>
  <c r="M58" i="26" s="1"/>
  <c r="U58" i="26" s="1"/>
  <c r="G150" i="26" s="1"/>
  <c r="K57" i="26"/>
  <c r="L57" i="26" s="1"/>
  <c r="K56" i="26"/>
  <c r="L56" i="26" s="1"/>
  <c r="M56" i="26" s="1"/>
  <c r="K55" i="26"/>
  <c r="L55" i="26" s="1"/>
  <c r="M55" i="26" s="1"/>
  <c r="K54" i="26"/>
  <c r="L54" i="26" s="1"/>
  <c r="K53" i="26"/>
  <c r="L53" i="26" s="1"/>
  <c r="K52" i="26"/>
  <c r="L52" i="26" s="1"/>
  <c r="K51" i="26"/>
  <c r="L51" i="26" s="1"/>
  <c r="M51" i="26" s="1"/>
  <c r="U51" i="26" s="1"/>
  <c r="G146" i="26" s="1"/>
  <c r="K50" i="26"/>
  <c r="L50" i="26" s="1"/>
  <c r="M50" i="26" s="1"/>
  <c r="U50" i="26" s="1"/>
  <c r="G145" i="26" s="1"/>
  <c r="K49" i="26"/>
  <c r="L49" i="26" s="1"/>
  <c r="M49" i="26" s="1"/>
  <c r="K48" i="26"/>
  <c r="L48" i="26" s="1"/>
  <c r="M48" i="26" s="1"/>
  <c r="K47" i="26"/>
  <c r="L47" i="26" s="1"/>
  <c r="K46" i="26"/>
  <c r="L46" i="26" s="1"/>
  <c r="M46" i="26" s="1"/>
  <c r="K45" i="26"/>
  <c r="L45" i="26" s="1"/>
  <c r="K44" i="26"/>
  <c r="L44" i="26" s="1"/>
  <c r="M44" i="26" s="1"/>
  <c r="U44" i="26" s="1"/>
  <c r="G141" i="26" s="1"/>
  <c r="K43" i="26"/>
  <c r="L43" i="26" s="1"/>
  <c r="K42" i="26"/>
  <c r="L42" i="26" s="1"/>
  <c r="M42" i="26" s="1"/>
  <c r="U42" i="26" s="1"/>
  <c r="G139" i="26" s="1"/>
  <c r="K41" i="26"/>
  <c r="L41" i="26" s="1"/>
  <c r="M41" i="26" s="1"/>
  <c r="U41" i="26" s="1"/>
  <c r="G138" i="26" s="1"/>
  <c r="K40" i="26"/>
  <c r="L40" i="26" s="1"/>
  <c r="M40" i="26" s="1"/>
  <c r="U40" i="26" s="1"/>
  <c r="G137" i="26" s="1"/>
  <c r="K39" i="26"/>
  <c r="L39" i="26" s="1"/>
  <c r="M39" i="26" s="1"/>
  <c r="U39" i="26" s="1"/>
  <c r="G136" i="26" s="1"/>
  <c r="K38" i="26"/>
  <c r="L38" i="26" s="1"/>
  <c r="M38" i="26" s="1"/>
  <c r="U38" i="26" s="1"/>
  <c r="G135" i="26" s="1"/>
  <c r="K37" i="26"/>
  <c r="L37" i="26" s="1"/>
  <c r="M37" i="26" s="1"/>
  <c r="U37" i="26" s="1"/>
  <c r="G134" i="26" s="1"/>
  <c r="K36" i="26"/>
  <c r="L36" i="26" s="1"/>
  <c r="K35" i="26"/>
  <c r="L35" i="26" s="1"/>
  <c r="M35" i="26" s="1"/>
  <c r="U35" i="26" s="1"/>
  <c r="G132" i="26" s="1"/>
  <c r="K34" i="26"/>
  <c r="L34" i="26" s="1"/>
  <c r="M34" i="26" s="1"/>
  <c r="U34" i="26" s="1"/>
  <c r="G131" i="26" s="1"/>
  <c r="K33" i="26"/>
  <c r="L33" i="26" s="1"/>
  <c r="M33" i="26" s="1"/>
  <c r="U33" i="26" s="1"/>
  <c r="G130" i="26" s="1"/>
  <c r="K32" i="26"/>
  <c r="L32" i="26" s="1"/>
  <c r="M32" i="26" s="1"/>
  <c r="U32" i="26" s="1"/>
  <c r="G129" i="26" s="1"/>
  <c r="K31" i="26"/>
  <c r="L31" i="26" s="1"/>
  <c r="M31" i="26" s="1"/>
  <c r="U31" i="26" s="1"/>
  <c r="G128" i="26" s="1"/>
  <c r="K30" i="26"/>
  <c r="L30" i="26" s="1"/>
  <c r="M30" i="26" s="1"/>
  <c r="U30" i="26" s="1"/>
  <c r="G127" i="26" s="1"/>
  <c r="K29" i="26"/>
  <c r="L29" i="26" s="1"/>
  <c r="K28" i="26"/>
  <c r="L28" i="26" s="1"/>
  <c r="M28" i="26" s="1"/>
  <c r="U28" i="26" s="1"/>
  <c r="G125" i="26" s="1"/>
  <c r="K27" i="26"/>
  <c r="L27" i="26" s="1"/>
  <c r="M27" i="26" s="1"/>
  <c r="U27" i="26" s="1"/>
  <c r="G124" i="26" s="1"/>
  <c r="K26" i="26"/>
  <c r="L26" i="26" s="1"/>
  <c r="M26" i="26" s="1"/>
  <c r="U26" i="26" s="1"/>
  <c r="G123" i="26" s="1"/>
  <c r="K25" i="26"/>
  <c r="L25" i="26" s="1"/>
  <c r="M25" i="26" s="1"/>
  <c r="U25" i="26" s="1"/>
  <c r="G122" i="26" s="1"/>
  <c r="K24" i="26"/>
  <c r="L24" i="26" s="1"/>
  <c r="M24" i="26" s="1"/>
  <c r="U24" i="26" s="1"/>
  <c r="G121" i="26" s="1"/>
  <c r="K23" i="26"/>
  <c r="L23" i="26" s="1"/>
  <c r="K22" i="26"/>
  <c r="L22" i="26" s="1"/>
  <c r="M22" i="26" s="1"/>
  <c r="K21" i="26"/>
  <c r="L21" i="26" s="1"/>
  <c r="M21" i="26" s="1"/>
  <c r="K20" i="26"/>
  <c r="L20" i="26" s="1"/>
  <c r="M20" i="26" s="1"/>
  <c r="K19" i="26"/>
  <c r="L19" i="26" s="1"/>
  <c r="M19" i="26" s="1"/>
  <c r="K18" i="26"/>
  <c r="L18" i="26" s="1"/>
  <c r="M18" i="26" s="1"/>
  <c r="K17" i="26"/>
  <c r="L17" i="26" s="1"/>
  <c r="M17" i="26" s="1"/>
  <c r="U17" i="26" s="1"/>
  <c r="G117" i="26" s="1"/>
  <c r="K16" i="26"/>
  <c r="L16" i="26" s="1"/>
  <c r="M16" i="26" s="1"/>
  <c r="U16" i="26" s="1"/>
  <c r="G116" i="26" s="1"/>
  <c r="K15" i="26"/>
  <c r="L15" i="26" s="1"/>
  <c r="M15" i="26" s="1"/>
  <c r="U15" i="26" s="1"/>
  <c r="G115" i="26" s="1"/>
  <c r="K14" i="26"/>
  <c r="L14" i="26" s="1"/>
  <c r="M14" i="26" s="1"/>
  <c r="U14" i="26" s="1"/>
  <c r="G114" i="26" s="1"/>
  <c r="K13" i="26"/>
  <c r="L13" i="26" s="1"/>
  <c r="M13" i="26" s="1"/>
  <c r="U13" i="26" s="1"/>
  <c r="G113" i="26" s="1"/>
  <c r="K12" i="26"/>
  <c r="L12" i="26" s="1"/>
  <c r="M12" i="26" s="1"/>
  <c r="U12" i="26" s="1"/>
  <c r="G112" i="26" s="1"/>
  <c r="K11" i="26"/>
  <c r="L11" i="26" s="1"/>
  <c r="M11" i="26" s="1"/>
  <c r="U11" i="26" s="1"/>
  <c r="G111" i="26" s="1"/>
  <c r="K10" i="26"/>
  <c r="L10" i="26" s="1"/>
  <c r="M10" i="26" s="1"/>
  <c r="U10" i="26" s="1"/>
  <c r="M64" i="26" l="1"/>
  <c r="U64" i="26" s="1"/>
  <c r="G155" i="26" s="1"/>
  <c r="M69" i="26"/>
  <c r="U69" i="26" s="1"/>
  <c r="G160" i="26" s="1"/>
  <c r="U20" i="26"/>
  <c r="G119" i="26" s="1"/>
  <c r="U48" i="26"/>
  <c r="G144" i="26" s="1"/>
  <c r="M47" i="26"/>
  <c r="U47" i="26" s="1"/>
  <c r="G143" i="26" s="1"/>
  <c r="M36" i="26"/>
  <c r="U36" i="26" s="1"/>
  <c r="G133" i="26" s="1"/>
  <c r="M52" i="26"/>
  <c r="U52" i="26" s="1"/>
  <c r="G147" i="26" s="1"/>
  <c r="M60" i="26"/>
  <c r="U60" i="26" s="1"/>
  <c r="G152" i="26" s="1"/>
  <c r="M23" i="26"/>
  <c r="N23" i="26" s="1"/>
  <c r="P23" i="26" s="1"/>
  <c r="M29" i="26"/>
  <c r="U29" i="26" s="1"/>
  <c r="G126" i="26" s="1"/>
  <c r="M45" i="26"/>
  <c r="U45" i="26" s="1"/>
  <c r="G142" i="26" s="1"/>
  <c r="M53" i="26"/>
  <c r="U53" i="26" s="1"/>
  <c r="G148" i="26" s="1"/>
  <c r="M57" i="26"/>
  <c r="U57" i="26" s="1"/>
  <c r="M61" i="26"/>
  <c r="U61" i="26" s="1"/>
  <c r="G153" i="26" s="1"/>
  <c r="M66" i="26"/>
  <c r="U66" i="26" s="1"/>
  <c r="G157" i="26" s="1"/>
  <c r="M43" i="26"/>
  <c r="U43" i="26" s="1"/>
  <c r="G140" i="26" s="1"/>
  <c r="U18" i="26"/>
  <c r="G118" i="26" s="1"/>
  <c r="M54" i="26"/>
  <c r="U54" i="26" s="1"/>
  <c r="G149" i="26" s="1"/>
  <c r="N24" i="26"/>
  <c r="P24" i="26" s="1"/>
  <c r="R73" i="26"/>
  <c r="N31" i="26"/>
  <c r="P31" i="26" s="1"/>
  <c r="N69" i="26"/>
  <c r="P69" i="26" s="1"/>
  <c r="N32" i="26"/>
  <c r="P32" i="26" s="1"/>
  <c r="N38" i="26"/>
  <c r="P38" i="26" s="1"/>
  <c r="N59" i="26"/>
  <c r="P59" i="26" s="1"/>
  <c r="N51" i="26"/>
  <c r="P51" i="26" s="1"/>
  <c r="N65" i="26"/>
  <c r="P65" i="26" s="1"/>
  <c r="N67" i="26"/>
  <c r="P67" i="26" s="1"/>
  <c r="N10" i="26"/>
  <c r="G110" i="26"/>
  <c r="N20" i="26"/>
  <c r="P20" i="26" s="1"/>
  <c r="N33" i="26"/>
  <c r="P33" i="26" s="1"/>
  <c r="N50" i="26"/>
  <c r="P50" i="26" s="1"/>
  <c r="N25" i="26"/>
  <c r="P25" i="26" s="1"/>
  <c r="N34" i="26"/>
  <c r="P34" i="26" s="1"/>
  <c r="N41" i="26"/>
  <c r="P41" i="26" s="1"/>
  <c r="N48" i="26"/>
  <c r="P48" i="26" s="1"/>
  <c r="N56" i="26"/>
  <c r="P56" i="26" s="1"/>
  <c r="N17" i="26"/>
  <c r="P17" i="26" s="1"/>
  <c r="N26" i="26"/>
  <c r="P26" i="26" s="1"/>
  <c r="N35" i="26"/>
  <c r="P35" i="26" s="1"/>
  <c r="N42" i="26"/>
  <c r="P42" i="26" s="1"/>
  <c r="N46" i="26"/>
  <c r="P46" i="26" s="1"/>
  <c r="N13" i="26"/>
  <c r="P13" i="26" s="1"/>
  <c r="N18" i="26"/>
  <c r="P18" i="26" s="1"/>
  <c r="N28" i="26"/>
  <c r="P28" i="26" s="1"/>
  <c r="N40" i="26"/>
  <c r="P40" i="26" s="1"/>
  <c r="N55" i="26"/>
  <c r="P55" i="26" s="1"/>
  <c r="N11" i="26"/>
  <c r="P11" i="26" s="1"/>
  <c r="N16" i="26"/>
  <c r="P16" i="26" s="1"/>
  <c r="N14" i="26"/>
  <c r="P14" i="26" s="1"/>
  <c r="N12" i="26"/>
  <c r="P12" i="26" s="1"/>
  <c r="N15" i="26"/>
  <c r="P15" i="26" s="1"/>
  <c r="N22" i="26"/>
  <c r="P22" i="26" s="1"/>
  <c r="N27" i="26"/>
  <c r="P27" i="26" s="1"/>
  <c r="N39" i="26"/>
  <c r="P39" i="26" s="1"/>
  <c r="N21" i="26"/>
  <c r="P21" i="26" s="1"/>
  <c r="N30" i="26"/>
  <c r="P30" i="26" s="1"/>
  <c r="N49" i="26"/>
  <c r="P49" i="26" s="1"/>
  <c r="K70" i="26"/>
  <c r="L70" i="26" s="1"/>
  <c r="N19" i="26"/>
  <c r="P19" i="26" s="1"/>
  <c r="N37" i="26"/>
  <c r="P37" i="26" s="1"/>
  <c r="N44" i="26"/>
  <c r="P44" i="26" s="1"/>
  <c r="N58" i="26"/>
  <c r="P58" i="26" s="1"/>
  <c r="N62" i="26"/>
  <c r="P62" i="26" s="1"/>
  <c r="N64" i="26" l="1"/>
  <c r="P64" i="26" s="1"/>
  <c r="U22" i="26"/>
  <c r="G120" i="26" s="1"/>
  <c r="N54" i="26"/>
  <c r="P54" i="26" s="1"/>
  <c r="N43" i="26"/>
  <c r="P43" i="26" s="1"/>
  <c r="N61" i="26"/>
  <c r="P61" i="26" s="1"/>
  <c r="N53" i="26"/>
  <c r="P53" i="26" s="1"/>
  <c r="N29" i="26"/>
  <c r="P29" i="26" s="1"/>
  <c r="N60" i="26"/>
  <c r="P60" i="26" s="1"/>
  <c r="N36" i="26"/>
  <c r="P36" i="26" s="1"/>
  <c r="N66" i="26"/>
  <c r="P66" i="26" s="1"/>
  <c r="N57" i="26"/>
  <c r="P57" i="26" s="1"/>
  <c r="N45" i="26"/>
  <c r="P45" i="26" s="1"/>
  <c r="N52" i="26"/>
  <c r="P52" i="26" s="1"/>
  <c r="N47" i="26"/>
  <c r="P47" i="26" s="1"/>
  <c r="P10" i="26"/>
  <c r="N70" i="26" l="1"/>
</calcChain>
</file>

<file path=xl/sharedStrings.xml><?xml version="1.0" encoding="utf-8"?>
<sst xmlns="http://schemas.openxmlformats.org/spreadsheetml/2006/main" count="319" uniqueCount="199">
  <si>
    <t>SL NO</t>
  </si>
  <si>
    <t>PROCESS NAME</t>
  </si>
  <si>
    <t>M/C TYPE</t>
  </si>
  <si>
    <t>CAPACITY</t>
  </si>
  <si>
    <t>REQ. MP</t>
  </si>
  <si>
    <t>MANPOWER</t>
  </si>
  <si>
    <t>INDUSTRIAL ENGINEERING DEPARTMENT</t>
  </si>
  <si>
    <t>CAPACITY STUDY REPORT</t>
  </si>
  <si>
    <t>LINE:</t>
  </si>
  <si>
    <t>UNIT:</t>
  </si>
  <si>
    <t>ACVD EFF% &amp; PROD:</t>
  </si>
  <si>
    <t>PLAN EFF% &amp; TGT:</t>
  </si>
  <si>
    <t>Summery</t>
  </si>
  <si>
    <t>OPERATOR NAME</t>
  </si>
  <si>
    <t>CARD NO.</t>
  </si>
  <si>
    <t>AVG.TIME (SEC)</t>
  </si>
  <si>
    <t>AVG TIME WITH ALL. (MIN)</t>
  </si>
  <si>
    <t>ACT. MP</t>
  </si>
  <si>
    <t>BAL MIN (+/-)</t>
  </si>
  <si>
    <t>CUM. CAPACITY</t>
  </si>
  <si>
    <t>BUYER:</t>
  </si>
  <si>
    <t xml:space="preserve">ITEM:    </t>
  </si>
  <si>
    <t>CYCLE TIME</t>
  </si>
  <si>
    <t>DATE</t>
  </si>
  <si>
    <t>BALANCE  OPERATION NAME</t>
  </si>
  <si>
    <t>Don’t tuch in coloring (Formula) column</t>
  </si>
  <si>
    <t>POTENTIAL CAPACITY</t>
  </si>
  <si>
    <t>OP</t>
  </si>
  <si>
    <t>Hel</t>
  </si>
  <si>
    <t>Iron</t>
  </si>
  <si>
    <t>Total</t>
  </si>
  <si>
    <t>Variation</t>
  </si>
  <si>
    <t>Layout MP</t>
  </si>
  <si>
    <t>Layout Target</t>
  </si>
  <si>
    <t>BALANCE MIN</t>
  </si>
  <si>
    <t>BALANCE PCS</t>
  </si>
  <si>
    <t>FOA</t>
  </si>
  <si>
    <t>STYLE NO:</t>
  </si>
  <si>
    <t xml:space="preserve"> Manpower Summery</t>
  </si>
  <si>
    <t>FL</t>
  </si>
  <si>
    <t>BASIC 5PKT</t>
  </si>
  <si>
    <t>SN</t>
  </si>
  <si>
    <t>DN</t>
  </si>
  <si>
    <t>Levi's</t>
  </si>
  <si>
    <t>KNS</t>
  </si>
  <si>
    <t>BT</t>
  </si>
  <si>
    <t>OL</t>
  </si>
  <si>
    <t>D/FLY JOIN</t>
  </si>
  <si>
    <t>SIDE CORD STC</t>
  </si>
  <si>
    <t>ALA</t>
  </si>
  <si>
    <t>FINAL TRIMMING</t>
  </si>
  <si>
    <t>HA-MEEM DESIGN LTD.</t>
  </si>
  <si>
    <t>MAMUN</t>
  </si>
  <si>
    <t>FAHIM</t>
  </si>
  <si>
    <t>VBM</t>
  </si>
  <si>
    <t>IN SEAM BODY ARRANGE</t>
  </si>
  <si>
    <t>MANSURA</t>
  </si>
  <si>
    <t>SOPNA</t>
  </si>
  <si>
    <t>HDL- 01</t>
  </si>
  <si>
    <t>NUR AKTER</t>
  </si>
  <si>
    <t>KONA</t>
  </si>
  <si>
    <t>DOLI</t>
  </si>
  <si>
    <t>KAYRUL</t>
  </si>
  <si>
    <t>MONI</t>
  </si>
  <si>
    <t>ROWSANARA</t>
  </si>
  <si>
    <t>KAWSAR</t>
  </si>
  <si>
    <t>SABINA</t>
  </si>
  <si>
    <t>NOYON</t>
  </si>
  <si>
    <t>SALMA</t>
  </si>
  <si>
    <t>AFROJA</t>
  </si>
  <si>
    <t>MORJINA</t>
  </si>
  <si>
    <t>ROTNA</t>
  </si>
  <si>
    <t>KHALEK</t>
  </si>
  <si>
    <t>ASMA</t>
  </si>
  <si>
    <t>MAHABUB</t>
  </si>
  <si>
    <t>SHOROVE</t>
  </si>
  <si>
    <t>NAHID</t>
  </si>
  <si>
    <t>RABBI</t>
  </si>
  <si>
    <t>ELAYES</t>
  </si>
  <si>
    <t>RUMI</t>
  </si>
  <si>
    <t>ROKEYA</t>
  </si>
  <si>
    <t>TANIA</t>
  </si>
  <si>
    <t>SORIF</t>
  </si>
  <si>
    <t>RAJIB</t>
  </si>
  <si>
    <t>BABU</t>
  </si>
  <si>
    <t>BEUTY</t>
  </si>
  <si>
    <t>SAHINUR</t>
  </si>
  <si>
    <t>LAKEY</t>
  </si>
  <si>
    <t>SATI</t>
  </si>
  <si>
    <t>BODY TURN</t>
  </si>
  <si>
    <t>KADIZA</t>
  </si>
  <si>
    <t>RUBEL</t>
  </si>
  <si>
    <t>SAPLA</t>
  </si>
  <si>
    <t>MAHEDE</t>
  </si>
  <si>
    <t>SL. NO.</t>
  </si>
  <si>
    <t>Machine Type</t>
  </si>
  <si>
    <t>Machine Full Form</t>
  </si>
  <si>
    <t>Brand</t>
  </si>
  <si>
    <t xml:space="preserve">SNLS </t>
  </si>
  <si>
    <t>Single Needle Lock Stitch</t>
  </si>
  <si>
    <t>Juki</t>
  </si>
  <si>
    <t>DNLS</t>
  </si>
  <si>
    <t>Double-Needle Lock Stitch</t>
  </si>
  <si>
    <t>SNCS</t>
  </si>
  <si>
    <t>Single Needle Chain Stitch</t>
  </si>
  <si>
    <t>DNCS</t>
  </si>
  <si>
    <t>Double Needle Chain Stitch</t>
  </si>
  <si>
    <t>Feed Off the Arm</t>
  </si>
  <si>
    <t> Overlock</t>
  </si>
  <si>
    <t>Kansai</t>
  </si>
  <si>
    <t>Flatlock</t>
  </si>
  <si>
    <t>Auto Loop Attach</t>
  </si>
  <si>
    <t>Vi.Be.Mac</t>
  </si>
  <si>
    <t>Bartack</t>
  </si>
  <si>
    <t>EH</t>
  </si>
  <si>
    <t>Eyelet Hole</t>
  </si>
  <si>
    <t>Hemming</t>
  </si>
  <si>
    <t xml:space="preserve">COIN PKT IRON </t>
  </si>
  <si>
    <t>SHOHEL</t>
  </si>
  <si>
    <t>D/FLY IRON</t>
  </si>
  <si>
    <t>SCOPE PKT FACING MARK</t>
  </si>
  <si>
    <t>1A</t>
  </si>
  <si>
    <t>1B</t>
  </si>
  <si>
    <t>SCOPE PKT BAG FACING ATTACH</t>
  </si>
  <si>
    <t>IRON</t>
  </si>
  <si>
    <t>HW</t>
  </si>
  <si>
    <t>COIN PKT ATTACH TO FACING (ANGULAR)</t>
  </si>
  <si>
    <t>DN-A</t>
  </si>
  <si>
    <t>SORIFA</t>
  </si>
  <si>
    <t>SCOPE PKT BAG OVERLOCK</t>
  </si>
  <si>
    <t>4T OL</t>
  </si>
  <si>
    <t xml:space="preserve">SCOPE PKT MOUTH JOIN </t>
  </si>
  <si>
    <t>CARE LBL, LINE, SIZE, SHADE &amp; COUNTRY LBL CUT &amp; INSERT INTO POLY</t>
  </si>
  <si>
    <t>LINE,SIZE,SHADE &amp; COUNTRY LBL ATT TO BODY (PEAR TACK)</t>
  </si>
  <si>
    <t>SCOPE PKT MOUTH TURN &amp; TOP STC</t>
  </si>
  <si>
    <t>SCOPE PKT SIDE &amp; WAIST TACK</t>
  </si>
  <si>
    <t>NAZMA</t>
  </si>
  <si>
    <t xml:space="preserve">S/FLY JOIN </t>
  </si>
  <si>
    <t>S/FLY TOP STC WITH FRONT RISE FOLD</t>
  </si>
  <si>
    <t>ZIPPER JOIN WITH S/FLY WITH MARK</t>
  </si>
  <si>
    <t>"J'' STC MAKE WITH MARK</t>
  </si>
  <si>
    <t>SUCHERITA</t>
  </si>
  <si>
    <t>FRONT PART JOIN</t>
  </si>
  <si>
    <t>D/FLY OL WITH FRONT PART &amp; CUT</t>
  </si>
  <si>
    <t>D/FLY SEFTY TACK</t>
  </si>
  <si>
    <t>D/FLY CLOSE STC</t>
  </si>
  <si>
    <t>FRONT RISE TOP STC</t>
  </si>
  <si>
    <t>CARE LBL ATT AT WAIST</t>
  </si>
  <si>
    <t xml:space="preserve">S/FLY OL, MARK &amp; CUT </t>
  </si>
  <si>
    <t>BACK YOKE JOIN BY FOLDER</t>
  </si>
  <si>
    <t>23H</t>
  </si>
  <si>
    <t>BACK YOKE  CUT</t>
  </si>
  <si>
    <t>BACK RISE JOIN BY FOLDER</t>
  </si>
  <si>
    <t>24H</t>
  </si>
  <si>
    <t>BACK RISE CUT</t>
  </si>
  <si>
    <t>AFRINA</t>
  </si>
  <si>
    <t xml:space="preserve">BACK YORK &amp; CORD STC PLSMNT MARK </t>
  </si>
  <si>
    <t>SAHANAZ</t>
  </si>
  <si>
    <t>WAIST BAND MATCH</t>
  </si>
  <si>
    <t xml:space="preserve">FRONT &amp; BACK PART MATCH </t>
  </si>
  <si>
    <t>INSEAM JOIN BY FOLDER</t>
  </si>
  <si>
    <t>28H</t>
  </si>
  <si>
    <t>SIDE SEAM JOIN (LONG)</t>
  </si>
  <si>
    <t>5T OL</t>
  </si>
  <si>
    <t>FRONT PKT END INSIDE BTK ( 2 ) WITH MARK</t>
  </si>
  <si>
    <t>ANAMUL</t>
  </si>
  <si>
    <t>WAIST BAND SHEARING STC</t>
  </si>
  <si>
    <t>FRONT WAIST MOUTH MARK</t>
  </si>
  <si>
    <t>WAIST BAND MARK (1PCS)</t>
  </si>
  <si>
    <t>WAIST BELT JOIN WITH 2 MOUTH CLOSE (01 PCS)</t>
  </si>
  <si>
    <t>KS</t>
  </si>
  <si>
    <t>NILUFA</t>
  </si>
  <si>
    <t>SUMON</t>
  </si>
  <si>
    <t>AKRAM</t>
  </si>
  <si>
    <t>36H</t>
  </si>
  <si>
    <t>WAIST BELT CUT</t>
  </si>
  <si>
    <t>WAIST BTM MOUTH CLOSE TACK</t>
  </si>
  <si>
    <t>ROWSANA</t>
  </si>
  <si>
    <t>WAIST TOP MOUTH CLOSE TACK</t>
  </si>
  <si>
    <t>MUKTA</t>
  </si>
  <si>
    <t>BOTTOM HEM MARK &amp; WAIST LOOP POSITION MARK (4 LOOP)</t>
  </si>
  <si>
    <t xml:space="preserve">BOTTOM HEM MAKE </t>
  </si>
  <si>
    <t>SAHIDA</t>
  </si>
  <si>
    <t>BACK PKT  WITH REINFO BTK ( 4 )</t>
  </si>
  <si>
    <t>WAIST LOOP ATTACH WITH  SUPPORT ( 7 LOOPS)</t>
  </si>
  <si>
    <t>V.B.M</t>
  </si>
  <si>
    <t xml:space="preserve">WAIST LOOP MAKE BY FOLDER &amp; MATCH </t>
  </si>
  <si>
    <t>RAJIB-2</t>
  </si>
  <si>
    <t>WAIST MOUTH EYE HOLE</t>
  </si>
  <si>
    <t>AL-AMIN</t>
  </si>
  <si>
    <t>A7498</t>
  </si>
  <si>
    <t>SMV</t>
  </si>
  <si>
    <t>NON- BALANCING</t>
  </si>
  <si>
    <t>NON - BALANCING TARGET</t>
  </si>
  <si>
    <t>FRONT BTK ( 2 )</t>
  </si>
  <si>
    <t>FRONT PKT BAG BTK ( 2 )</t>
  </si>
  <si>
    <t>41A</t>
  </si>
  <si>
    <t>41B</t>
  </si>
  <si>
    <t>REMOVE THIS HW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</si>
</sst>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[$-409]d\-mmm\-yy;@"/>
  </numFmts>
  <fonts count="16" x14ac:knownFonts="1">
    <font>
      <sz val="11"/>
      <color theme="1"/>
      <name val="Calibri"/>
      <family val="2"/>
      <scheme val="minor"/>
    </font>
    <font>
      <sz val="14"/>
      <color theme="1"/>
      <name val="Tahoma"/>
      <family val="2"/>
    </font>
    <font>
      <b/>
      <sz val="14"/>
      <color theme="1"/>
      <name val="Tahoma"/>
      <family val="2"/>
    </font>
    <font>
      <sz val="24"/>
      <color theme="6" tint="0.79998168889431442"/>
      <name val="Tahoma"/>
      <family val="2"/>
    </font>
    <font>
      <b/>
      <sz val="16"/>
      <color theme="1"/>
      <name val="Tahoma"/>
      <family val="2"/>
    </font>
    <font>
      <b/>
      <sz val="28"/>
      <color theme="1"/>
      <name val="Times New Roman"/>
      <family val="1"/>
    </font>
    <font>
      <b/>
      <u/>
      <sz val="18"/>
      <color theme="1"/>
      <name val="Times New Roman"/>
      <family val="1"/>
    </font>
    <font>
      <b/>
      <u/>
      <sz val="20"/>
      <color theme="1"/>
      <name val="Times New Roman"/>
      <family val="1"/>
    </font>
    <font>
      <b/>
      <sz val="14"/>
      <color theme="1"/>
      <name val="Times New Roman"/>
      <family val="1"/>
    </font>
    <font>
      <b/>
      <sz val="18"/>
      <color theme="1"/>
      <name val="Times New Roman"/>
      <family val="1"/>
    </font>
    <font>
      <b/>
      <sz val="16"/>
      <name val="Times New Roman"/>
      <family val="1"/>
    </font>
    <font>
      <b/>
      <sz val="16"/>
      <color theme="1"/>
      <name val="Times New Roman"/>
      <family val="1"/>
    </font>
    <font>
      <b/>
      <sz val="14"/>
      <name val="Times New Roman"/>
      <family val="1"/>
    </font>
    <font>
      <b/>
      <u/>
      <sz val="16"/>
      <color theme="1"/>
      <name val="Times New Roman"/>
      <family val="1"/>
    </font>
    <font>
      <sz val="14"/>
      <color theme="1"/>
      <name val="Times New Roman"/>
      <family val="1"/>
    </font>
    <font>
      <b/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8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</fills>
  <borders count="3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1">
    <xf numFmtId="0" fontId="0" fillId="0" borderId="0" xfId="0"/>
    <xf numFmtId="0" fontId="1" fillId="4" borderId="0" xfId="0" applyFont="1" applyFill="1" applyAlignment="1">
      <alignment horizontal="center" vertical="center" wrapText="1"/>
    </xf>
    <xf numFmtId="0" fontId="1" fillId="4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 wrapText="1"/>
    </xf>
    <xf numFmtId="0" fontId="4" fillId="3" borderId="0" xfId="0" applyFont="1" applyFill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4" fillId="4" borderId="0" xfId="0" applyFont="1" applyFill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2" fillId="4" borderId="0" xfId="0" applyFont="1" applyFill="1" applyAlignment="1">
      <alignment horizontal="center" vertical="center" wrapText="1"/>
    </xf>
    <xf numFmtId="0" fontId="8" fillId="4" borderId="2" xfId="0" applyFont="1" applyFill="1" applyBorder="1" applyAlignment="1">
      <alignment horizontal="center" vertical="center" wrapText="1"/>
    </xf>
    <xf numFmtId="0" fontId="9" fillId="4" borderId="2" xfId="0" applyFont="1" applyFill="1" applyBorder="1" applyAlignment="1">
      <alignment horizontal="center" vertical="center" wrapText="1"/>
    </xf>
    <xf numFmtId="0" fontId="8" fillId="4" borderId="0" xfId="0" applyFont="1" applyFill="1" applyAlignment="1">
      <alignment horizontal="left" vertical="center" wrapText="1"/>
    </xf>
    <xf numFmtId="0" fontId="8" fillId="4" borderId="0" xfId="0" applyFont="1" applyFill="1" applyAlignment="1">
      <alignment horizontal="center" vertical="center" wrapText="1"/>
    </xf>
    <xf numFmtId="0" fontId="11" fillId="4" borderId="2" xfId="0" applyFont="1" applyFill="1" applyBorder="1" applyAlignment="1">
      <alignment horizontal="center" vertical="center" wrapText="1"/>
    </xf>
    <xf numFmtId="0" fontId="8" fillId="4" borderId="2" xfId="0" applyFont="1" applyFill="1" applyBorder="1" applyAlignment="1">
      <alignment horizontal="center" vertical="center"/>
    </xf>
    <xf numFmtId="0" fontId="9" fillId="4" borderId="6" xfId="0" applyFont="1" applyFill="1" applyBorder="1" applyAlignment="1">
      <alignment horizontal="center" vertical="center"/>
    </xf>
    <xf numFmtId="0" fontId="8" fillId="5" borderId="8" xfId="0" applyFont="1" applyFill="1" applyBorder="1" applyAlignment="1">
      <alignment horizontal="center" vertical="center" wrapText="1"/>
    </xf>
    <xf numFmtId="0" fontId="11" fillId="5" borderId="12" xfId="0" applyFont="1" applyFill="1" applyBorder="1" applyAlignment="1">
      <alignment horizontal="center" vertical="center" wrapText="1"/>
    </xf>
    <xf numFmtId="0" fontId="8" fillId="0" borderId="13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left" vertical="center" wrapText="1"/>
    </xf>
    <xf numFmtId="0" fontId="8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 wrapText="1"/>
    </xf>
    <xf numFmtId="2" fontId="8" fillId="6" borderId="1" xfId="0" applyNumberFormat="1" applyFont="1" applyFill="1" applyBorder="1" applyAlignment="1">
      <alignment horizontal="center" vertical="center" wrapText="1"/>
    </xf>
    <xf numFmtId="2" fontId="12" fillId="0" borderId="1" xfId="0" applyNumberFormat="1" applyFont="1" applyBorder="1" applyAlignment="1">
      <alignment horizontal="center" vertical="center" wrapText="1"/>
    </xf>
    <xf numFmtId="1" fontId="8" fillId="6" borderId="1" xfId="0" applyNumberFormat="1" applyFont="1" applyFill="1" applyBorder="1" applyAlignment="1">
      <alignment horizontal="center" vertical="center" wrapText="1"/>
    </xf>
    <xf numFmtId="0" fontId="8" fillId="4" borderId="1" xfId="0" applyFont="1" applyFill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0" fontId="8" fillId="0" borderId="1" xfId="0" quotePrefix="1" applyFont="1" applyBorder="1" applyAlignment="1">
      <alignment horizontal="left" vertical="center" wrapText="1"/>
    </xf>
    <xf numFmtId="1" fontId="8" fillId="6" borderId="1" xfId="0" applyNumberFormat="1" applyFont="1" applyFill="1" applyBorder="1" applyAlignment="1">
      <alignment horizontal="center" vertical="center"/>
    </xf>
    <xf numFmtId="0" fontId="11" fillId="2" borderId="1" xfId="0" applyFont="1" applyFill="1" applyBorder="1" applyAlignment="1">
      <alignment horizontal="center" vertical="center" wrapText="1"/>
    </xf>
    <xf numFmtId="0" fontId="11" fillId="2" borderId="10" xfId="0" applyFont="1" applyFill="1" applyBorder="1" applyAlignment="1">
      <alignment horizontal="center" vertical="center" wrapText="1"/>
    </xf>
    <xf numFmtId="2" fontId="11" fillId="2" borderId="10" xfId="0" applyNumberFormat="1" applyFont="1" applyFill="1" applyBorder="1" applyAlignment="1">
      <alignment horizontal="center" vertical="center" wrapText="1"/>
    </xf>
    <xf numFmtId="1" fontId="11" fillId="2" borderId="10" xfId="0" applyNumberFormat="1" applyFont="1" applyFill="1" applyBorder="1" applyAlignment="1">
      <alignment horizontal="center" vertical="center" wrapText="1"/>
    </xf>
    <xf numFmtId="164" fontId="11" fillId="2" borderId="10" xfId="0" applyNumberFormat="1" applyFont="1" applyFill="1" applyBorder="1" applyAlignment="1">
      <alignment horizontal="center" vertical="center" wrapText="1"/>
    </xf>
    <xf numFmtId="0" fontId="11" fillId="4" borderId="0" xfId="0" applyFont="1" applyFill="1" applyAlignment="1">
      <alignment horizontal="center" vertical="center" wrapText="1"/>
    </xf>
    <xf numFmtId="0" fontId="11" fillId="4" borderId="17" xfId="0" applyFont="1" applyFill="1" applyBorder="1" applyAlignment="1">
      <alignment horizontal="center" vertical="center" wrapText="1"/>
    </xf>
    <xf numFmtId="0" fontId="11" fillId="4" borderId="18" xfId="0" applyFont="1" applyFill="1" applyBorder="1" applyAlignment="1">
      <alignment horizontal="center" vertical="center" wrapText="1"/>
    </xf>
    <xf numFmtId="0" fontId="11" fillId="4" borderId="19" xfId="0" applyFont="1" applyFill="1" applyBorder="1" applyAlignment="1">
      <alignment horizontal="center" vertical="center" wrapText="1"/>
    </xf>
    <xf numFmtId="1" fontId="11" fillId="4" borderId="18" xfId="0" applyNumberFormat="1" applyFont="1" applyFill="1" applyBorder="1" applyAlignment="1">
      <alignment horizontal="center" vertical="center" wrapText="1"/>
    </xf>
    <xf numFmtId="164" fontId="11" fillId="4" borderId="18" xfId="0" applyNumberFormat="1" applyFont="1" applyFill="1" applyBorder="1" applyAlignment="1">
      <alignment horizontal="center" vertical="center" wrapText="1"/>
    </xf>
    <xf numFmtId="0" fontId="11" fillId="4" borderId="20" xfId="0" applyFont="1" applyFill="1" applyBorder="1" applyAlignment="1">
      <alignment horizontal="center" vertical="center" wrapText="1"/>
    </xf>
    <xf numFmtId="0" fontId="11" fillId="4" borderId="1" xfId="0" applyFont="1" applyFill="1" applyBorder="1" applyAlignment="1">
      <alignment horizontal="center" vertical="center" wrapText="1"/>
    </xf>
    <xf numFmtId="0" fontId="11" fillId="4" borderId="21" xfId="0" applyFont="1" applyFill="1" applyBorder="1" applyAlignment="1">
      <alignment horizontal="center" vertical="center" wrapText="1"/>
    </xf>
    <xf numFmtId="1" fontId="11" fillId="4" borderId="1" xfId="0" applyNumberFormat="1" applyFont="1" applyFill="1" applyBorder="1" applyAlignment="1">
      <alignment horizontal="center" vertical="center" wrapText="1"/>
    </xf>
    <xf numFmtId="164" fontId="11" fillId="4" borderId="1" xfId="0" applyNumberFormat="1" applyFont="1" applyFill="1" applyBorder="1" applyAlignment="1">
      <alignment horizontal="center" vertical="center" wrapText="1"/>
    </xf>
    <xf numFmtId="164" fontId="11" fillId="4" borderId="21" xfId="0" applyNumberFormat="1" applyFont="1" applyFill="1" applyBorder="1" applyAlignment="1">
      <alignment horizontal="center" vertical="center" wrapText="1"/>
    </xf>
    <xf numFmtId="1" fontId="11" fillId="4" borderId="29" xfId="0" applyNumberFormat="1" applyFont="1" applyFill="1" applyBorder="1" applyAlignment="1">
      <alignment horizontal="center" vertical="center" wrapText="1"/>
    </xf>
    <xf numFmtId="1" fontId="11" fillId="4" borderId="30" xfId="0" applyNumberFormat="1" applyFont="1" applyFill="1" applyBorder="1" applyAlignment="1">
      <alignment horizontal="center" vertical="center" wrapText="1"/>
    </xf>
    <xf numFmtId="0" fontId="11" fillId="0" borderId="0" xfId="0" applyFont="1" applyAlignment="1">
      <alignment horizontal="center" vertical="center" wrapText="1"/>
    </xf>
    <xf numFmtId="1" fontId="11" fillId="4" borderId="0" xfId="0" applyNumberFormat="1" applyFont="1" applyFill="1" applyAlignment="1">
      <alignment horizontal="center" vertical="center" wrapText="1"/>
    </xf>
    <xf numFmtId="2" fontId="11" fillId="4" borderId="0" xfId="0" applyNumberFormat="1" applyFont="1" applyFill="1" applyAlignment="1">
      <alignment horizontal="center" vertical="center" wrapText="1"/>
    </xf>
    <xf numFmtId="2" fontId="11" fillId="0" borderId="0" xfId="0" applyNumberFormat="1" applyFont="1" applyAlignment="1">
      <alignment horizontal="center" vertical="center" wrapText="1"/>
    </xf>
    <xf numFmtId="164" fontId="11" fillId="4" borderId="0" xfId="0" applyNumberFormat="1" applyFont="1" applyFill="1" applyAlignment="1">
      <alignment horizontal="center" vertical="center" wrapText="1"/>
    </xf>
    <xf numFmtId="0" fontId="14" fillId="0" borderId="0" xfId="0" applyFont="1" applyAlignment="1">
      <alignment horizontal="center" vertical="center" wrapText="1"/>
    </xf>
    <xf numFmtId="0" fontId="14" fillId="4" borderId="0" xfId="0" applyFont="1" applyFill="1" applyAlignment="1">
      <alignment horizontal="center" vertical="center" wrapText="1"/>
    </xf>
    <xf numFmtId="0" fontId="8" fillId="4" borderId="0" xfId="0" applyFont="1" applyFill="1" applyAlignment="1">
      <alignment vertical="center" wrapText="1"/>
    </xf>
    <xf numFmtId="0" fontId="8" fillId="0" borderId="0" xfId="0" applyFont="1" applyAlignment="1">
      <alignment horizontal="center" vertical="center" wrapText="1"/>
    </xf>
    <xf numFmtId="0" fontId="8" fillId="4" borderId="0" xfId="0" applyFont="1" applyFill="1" applyAlignment="1">
      <alignment vertical="center"/>
    </xf>
    <xf numFmtId="0" fontId="14" fillId="0" borderId="1" xfId="0" applyFont="1" applyBorder="1" applyAlignment="1">
      <alignment horizontal="center" vertical="center" wrapText="1"/>
    </xf>
    <xf numFmtId="0" fontId="14" fillId="0" borderId="1" xfId="0" applyFont="1" applyBorder="1" applyAlignment="1">
      <alignment horizontal="left" vertical="center" wrapText="1"/>
    </xf>
    <xf numFmtId="0" fontId="8" fillId="2" borderId="16" xfId="0" applyFont="1" applyFill="1" applyBorder="1" applyAlignment="1">
      <alignment horizontal="center" vertical="center" wrapText="1"/>
    </xf>
    <xf numFmtId="0" fontId="11" fillId="4" borderId="22" xfId="0" applyFont="1" applyFill="1" applyBorder="1" applyAlignment="1">
      <alignment horizontal="center" vertical="center" wrapText="1"/>
    </xf>
    <xf numFmtId="0" fontId="8" fillId="5" borderId="12" xfId="0" applyFont="1" applyFill="1" applyBorder="1" applyAlignment="1">
      <alignment horizontal="center" vertical="center" wrapText="1"/>
    </xf>
    <xf numFmtId="0" fontId="8" fillId="5" borderId="15" xfId="0" applyFont="1" applyFill="1" applyBorder="1" applyAlignment="1">
      <alignment horizontal="center" vertical="center" wrapText="1"/>
    </xf>
    <xf numFmtId="0" fontId="10" fillId="4" borderId="4" xfId="0" applyFont="1" applyFill="1" applyBorder="1" applyAlignment="1">
      <alignment horizontal="center" vertical="center" wrapText="1"/>
    </xf>
    <xf numFmtId="0" fontId="11" fillId="4" borderId="4" xfId="0" applyFont="1" applyFill="1" applyBorder="1" applyAlignment="1">
      <alignment horizontal="center" vertical="center" wrapText="1"/>
    </xf>
    <xf numFmtId="0" fontId="1" fillId="7" borderId="0" xfId="0" applyFont="1" applyFill="1" applyAlignment="1">
      <alignment horizontal="center" vertical="center" wrapText="1"/>
    </xf>
    <xf numFmtId="0" fontId="1" fillId="7" borderId="3" xfId="0" applyFont="1" applyFill="1" applyBorder="1" applyAlignment="1">
      <alignment horizontal="center" vertical="center" wrapText="1"/>
    </xf>
    <xf numFmtId="2" fontId="8" fillId="0" borderId="1" xfId="0" applyNumberFormat="1" applyFont="1" applyBorder="1" applyAlignment="1">
      <alignment horizontal="center" vertical="center" wrapText="1"/>
    </xf>
    <xf numFmtId="1" fontId="8" fillId="0" borderId="1" xfId="0" applyNumberFormat="1" applyFont="1" applyBorder="1" applyAlignment="1">
      <alignment horizontal="center" vertical="center" wrapText="1"/>
    </xf>
    <xf numFmtId="164" fontId="8" fillId="0" borderId="1" xfId="0" applyNumberFormat="1" applyFont="1" applyBorder="1" applyAlignment="1">
      <alignment horizontal="center" vertical="center" wrapText="1"/>
    </xf>
    <xf numFmtId="1" fontId="8" fillId="6" borderId="13" xfId="0" applyNumberFormat="1" applyFont="1" applyFill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8" fillId="0" borderId="13" xfId="0" applyFont="1" applyBorder="1" applyAlignment="1">
      <alignment horizontal="center" vertical="center" wrapText="1"/>
    </xf>
    <xf numFmtId="0" fontId="8" fillId="0" borderId="32" xfId="0" applyFont="1" applyBorder="1" applyAlignment="1">
      <alignment horizontal="center" vertical="center" wrapText="1"/>
    </xf>
    <xf numFmtId="0" fontId="8" fillId="0" borderId="31" xfId="0" applyFont="1" applyBorder="1" applyAlignment="1">
      <alignment horizontal="center" vertical="center" wrapText="1"/>
    </xf>
    <xf numFmtId="0" fontId="13" fillId="4" borderId="0" xfId="0" applyFont="1" applyFill="1" applyAlignment="1">
      <alignment horizontal="center" vertical="center" wrapText="1"/>
    </xf>
    <xf numFmtId="0" fontId="13" fillId="4" borderId="9" xfId="0" applyFont="1" applyFill="1" applyBorder="1" applyAlignment="1">
      <alignment horizontal="center" vertical="center" wrapText="1"/>
    </xf>
    <xf numFmtId="0" fontId="11" fillId="4" borderId="26" xfId="0" applyFont="1" applyFill="1" applyBorder="1" applyAlignment="1">
      <alignment horizontal="center" vertical="center"/>
    </xf>
    <xf numFmtId="0" fontId="11" fillId="4" borderId="18" xfId="0" applyFont="1" applyFill="1" applyBorder="1" applyAlignment="1">
      <alignment horizontal="center" vertical="center"/>
    </xf>
    <xf numFmtId="0" fontId="11" fillId="4" borderId="27" xfId="0" applyFont="1" applyFill="1" applyBorder="1" applyAlignment="1">
      <alignment horizontal="center" vertical="center"/>
    </xf>
    <xf numFmtId="0" fontId="11" fillId="4" borderId="1" xfId="0" applyFont="1" applyFill="1" applyBorder="1" applyAlignment="1">
      <alignment horizontal="center" vertical="center"/>
    </xf>
    <xf numFmtId="0" fontId="11" fillId="4" borderId="23" xfId="0" applyFont="1" applyFill="1" applyBorder="1" applyAlignment="1">
      <alignment horizontal="center" vertical="center" wrapText="1"/>
    </xf>
    <xf numFmtId="0" fontId="11" fillId="4" borderId="24" xfId="0" applyFont="1" applyFill="1" applyBorder="1" applyAlignment="1">
      <alignment horizontal="center" vertical="center" wrapText="1"/>
    </xf>
    <xf numFmtId="0" fontId="11" fillId="4" borderId="25" xfId="0" applyFont="1" applyFill="1" applyBorder="1" applyAlignment="1">
      <alignment horizontal="center" vertical="center" wrapText="1"/>
    </xf>
    <xf numFmtId="0" fontId="11" fillId="4" borderId="22" xfId="0" applyFont="1" applyFill="1" applyBorder="1" applyAlignment="1">
      <alignment horizontal="center" vertical="center" wrapText="1"/>
    </xf>
    <xf numFmtId="0" fontId="11" fillId="4" borderId="28" xfId="0" applyFont="1" applyFill="1" applyBorder="1" applyAlignment="1">
      <alignment horizontal="center" vertical="center" wrapText="1"/>
    </xf>
    <xf numFmtId="1" fontId="9" fillId="4" borderId="23" xfId="0" applyNumberFormat="1" applyFont="1" applyFill="1" applyBorder="1" applyAlignment="1">
      <alignment horizontal="center" vertical="center" wrapText="1"/>
    </xf>
    <xf numFmtId="1" fontId="9" fillId="4" borderId="24" xfId="0" applyNumberFormat="1" applyFont="1" applyFill="1" applyBorder="1" applyAlignment="1">
      <alignment horizontal="center" vertical="center" wrapText="1"/>
    </xf>
    <xf numFmtId="1" fontId="9" fillId="4" borderId="29" xfId="0" applyNumberFormat="1" applyFont="1" applyFill="1" applyBorder="1" applyAlignment="1">
      <alignment horizontal="center" vertical="center" wrapText="1"/>
    </xf>
    <xf numFmtId="0" fontId="8" fillId="4" borderId="0" xfId="0" applyFont="1" applyFill="1" applyAlignment="1">
      <alignment horizontal="center" vertical="center" wrapText="1"/>
    </xf>
    <xf numFmtId="0" fontId="8" fillId="5" borderId="12" xfId="0" applyFont="1" applyFill="1" applyBorder="1" applyAlignment="1">
      <alignment horizontal="center" vertical="center" wrapText="1"/>
    </xf>
    <xf numFmtId="0" fontId="8" fillId="5" borderId="15" xfId="0" applyFont="1" applyFill="1" applyBorder="1" applyAlignment="1">
      <alignment horizontal="center" vertical="center" wrapText="1"/>
    </xf>
    <xf numFmtId="0" fontId="8" fillId="0" borderId="33" xfId="0" applyFont="1" applyBorder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 textRotation="90" wrapText="1"/>
    </xf>
    <xf numFmtId="0" fontId="3" fillId="0" borderId="0" xfId="0" applyFont="1" applyAlignment="1">
      <alignment horizontal="center" vertical="center" textRotation="90" wrapText="1"/>
    </xf>
    <xf numFmtId="1" fontId="8" fillId="6" borderId="13" xfId="0" applyNumberFormat="1" applyFont="1" applyFill="1" applyBorder="1" applyAlignment="1">
      <alignment horizontal="center" vertical="center"/>
    </xf>
    <xf numFmtId="1" fontId="8" fillId="6" borderId="31" xfId="0" applyNumberFormat="1" applyFont="1" applyFill="1" applyBorder="1" applyAlignment="1">
      <alignment horizontal="center" vertical="center"/>
    </xf>
    <xf numFmtId="0" fontId="8" fillId="5" borderId="4" xfId="0" applyFont="1" applyFill="1" applyBorder="1" applyAlignment="1">
      <alignment horizontal="center" vertical="center" wrapText="1"/>
    </xf>
    <xf numFmtId="0" fontId="8" fillId="5" borderId="5" xfId="0" applyFont="1" applyFill="1" applyBorder="1" applyAlignment="1">
      <alignment horizontal="center" vertical="center" wrapText="1"/>
    </xf>
    <xf numFmtId="0" fontId="8" fillId="5" borderId="6" xfId="0" applyFont="1" applyFill="1" applyBorder="1" applyAlignment="1">
      <alignment horizontal="center" vertical="center" wrapText="1"/>
    </xf>
    <xf numFmtId="1" fontId="8" fillId="6" borderId="32" xfId="0" applyNumberFormat="1" applyFont="1" applyFill="1" applyBorder="1" applyAlignment="1">
      <alignment horizontal="center" vertical="center"/>
    </xf>
    <xf numFmtId="0" fontId="5" fillId="4" borderId="0" xfId="0" applyFont="1" applyFill="1" applyAlignment="1">
      <alignment horizontal="center" vertical="center" wrapText="1"/>
    </xf>
    <xf numFmtId="0" fontId="6" fillId="4" borderId="0" xfId="0" applyFont="1" applyFill="1" applyAlignment="1">
      <alignment horizontal="center" vertical="center" wrapText="1"/>
    </xf>
    <xf numFmtId="0" fontId="7" fillId="4" borderId="0" xfId="0" applyFont="1" applyFill="1" applyAlignment="1">
      <alignment horizontal="center" vertical="center" wrapText="1"/>
    </xf>
    <xf numFmtId="0" fontId="11" fillId="4" borderId="5" xfId="0" applyFont="1" applyFill="1" applyBorder="1" applyAlignment="1">
      <alignment horizontal="center" vertical="center" wrapText="1"/>
    </xf>
    <xf numFmtId="0" fontId="11" fillId="4" borderId="6" xfId="0" applyFont="1" applyFill="1" applyBorder="1" applyAlignment="1">
      <alignment horizontal="center" vertical="center" wrapText="1"/>
    </xf>
    <xf numFmtId="0" fontId="10" fillId="4" borderId="4" xfId="0" applyFont="1" applyFill="1" applyBorder="1" applyAlignment="1">
      <alignment horizontal="center" vertical="center" wrapText="1"/>
    </xf>
    <xf numFmtId="0" fontId="10" fillId="4" borderId="6" xfId="0" applyFont="1" applyFill="1" applyBorder="1" applyAlignment="1">
      <alignment horizontal="center" vertical="center" wrapText="1"/>
    </xf>
    <xf numFmtId="165" fontId="10" fillId="4" borderId="4" xfId="0" applyNumberFormat="1" applyFont="1" applyFill="1" applyBorder="1" applyAlignment="1">
      <alignment horizontal="center" vertical="center" wrapText="1"/>
    </xf>
    <xf numFmtId="165" fontId="10" fillId="4" borderId="6" xfId="0" applyNumberFormat="1" applyFont="1" applyFill="1" applyBorder="1" applyAlignment="1">
      <alignment horizontal="center" vertical="center" wrapText="1"/>
    </xf>
    <xf numFmtId="0" fontId="10" fillId="4" borderId="5" xfId="0" applyFont="1" applyFill="1" applyBorder="1" applyAlignment="1">
      <alignment horizontal="center" vertical="center" wrapText="1"/>
    </xf>
    <xf numFmtId="9" fontId="10" fillId="4" borderId="4" xfId="0" applyNumberFormat="1" applyFont="1" applyFill="1" applyBorder="1" applyAlignment="1">
      <alignment horizontal="center" vertical="center" wrapText="1"/>
    </xf>
    <xf numFmtId="9" fontId="10" fillId="4" borderId="6" xfId="0" applyNumberFormat="1" applyFont="1" applyFill="1" applyBorder="1" applyAlignment="1">
      <alignment horizontal="center" vertical="center" wrapText="1"/>
    </xf>
    <xf numFmtId="0" fontId="11" fillId="4" borderId="4" xfId="0" applyFont="1" applyFill="1" applyBorder="1" applyAlignment="1">
      <alignment horizontal="center" vertical="center" wrapText="1"/>
    </xf>
    <xf numFmtId="0" fontId="8" fillId="4" borderId="11" xfId="0" applyFont="1" applyFill="1" applyBorder="1" applyAlignment="1">
      <alignment horizontal="center" vertical="center" wrapText="1"/>
    </xf>
    <xf numFmtId="0" fontId="8" fillId="5" borderId="14" xfId="0" applyFont="1" applyFill="1" applyBorder="1" applyAlignment="1">
      <alignment horizontal="center" vertical="center" wrapText="1"/>
    </xf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2.6285226457419465E-2"/>
          <c:y val="2.4750608537349776E-2"/>
          <c:w val="0.97371477533579154"/>
          <c:h val="0.50247080500281049"/>
        </c:manualLayout>
      </c:layout>
      <c:lineChart>
        <c:grouping val="standard"/>
        <c:varyColors val="1"/>
        <c:ser>
          <c:idx val="0"/>
          <c:order val="0"/>
          <c:spPr>
            <a:ln w="50800"/>
          </c:spPr>
          <c:marker>
            <c:symbol val="square"/>
            <c:size val="8"/>
            <c:spPr>
              <a:ln w="53975"/>
            </c:spPr>
          </c:marker>
          <c:dLbls>
            <c:spPr>
              <a:solidFill>
                <a:schemeClr val="bg1"/>
              </a:solidFill>
              <a:effectLst>
                <a:glow>
                  <a:schemeClr val="accent1">
                    <a:alpha val="10000"/>
                  </a:schemeClr>
                </a:glow>
                <a:softEdge rad="0"/>
              </a:effectLst>
              <a:scene3d>
                <a:camera prst="orthographicFront"/>
                <a:lightRig rig="threePt" dir="t"/>
              </a:scene3d>
              <a:sp3d>
                <a:bevelT h="6350"/>
              </a:sp3d>
            </c:spPr>
            <c:txPr>
              <a:bodyPr rot="-5400000" vert="horz"/>
              <a:lstStyle/>
              <a:p>
                <a:pPr>
                  <a:defRPr sz="1400" b="1"/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'NON -BALANCING'!$B$110:$B$160</c:f>
              <c:strCache>
                <c:ptCount val="51"/>
                <c:pt idx="0">
                  <c:v>COIN PKT IRON </c:v>
                </c:pt>
                <c:pt idx="1">
                  <c:v>D/FLY IRON</c:v>
                </c:pt>
                <c:pt idx="2">
                  <c:v>SCOPE PKT FACING MARK</c:v>
                </c:pt>
                <c:pt idx="3">
                  <c:v>SCOPE PKT BAG FACING ATTACH</c:v>
                </c:pt>
                <c:pt idx="4">
                  <c:v>COIN PKT ATTACH TO FACING (ANGULAR)</c:v>
                </c:pt>
                <c:pt idx="5">
                  <c:v>SCOPE PKT BAG OVERLOCK</c:v>
                </c:pt>
                <c:pt idx="6">
                  <c:v>CARE LBL, LINE, SIZE, SHADE &amp; COUNTRY LBL CUT &amp; INSERT INTO POLY</c:v>
                </c:pt>
                <c:pt idx="7">
                  <c:v>LINE,SIZE,SHADE &amp; COUNTRY LBL ATT TO BODY (PEAR TACK)</c:v>
                </c:pt>
                <c:pt idx="8">
                  <c:v>SCOPE PKT MOUTH JOIN </c:v>
                </c:pt>
                <c:pt idx="9">
                  <c:v>SCOPE PKT MOUTH TURN &amp; TOP STC</c:v>
                </c:pt>
                <c:pt idx="10">
                  <c:v>SCOPE PKT SIDE &amp; WAIST TACK</c:v>
                </c:pt>
                <c:pt idx="11">
                  <c:v>S/FLY JOIN </c:v>
                </c:pt>
                <c:pt idx="12">
                  <c:v>S/FLY TOP STC WITH FRONT RISE FOLD</c:v>
                </c:pt>
                <c:pt idx="13">
                  <c:v>ZIPPER JOIN WITH S/FLY WITH MARK</c:v>
                </c:pt>
                <c:pt idx="14">
                  <c:v>"J'' STC MAKE WITH MARK</c:v>
                </c:pt>
                <c:pt idx="15">
                  <c:v>D/FLY JOIN</c:v>
                </c:pt>
                <c:pt idx="16">
                  <c:v>FRONT PART JOIN</c:v>
                </c:pt>
                <c:pt idx="17">
                  <c:v>D/FLY OL WITH FRONT PART &amp; CUT</c:v>
                </c:pt>
                <c:pt idx="18">
                  <c:v>D/FLY SEFTY TACK</c:v>
                </c:pt>
                <c:pt idx="19">
                  <c:v>D/FLY CLOSE STC</c:v>
                </c:pt>
                <c:pt idx="20">
                  <c:v>FRONT RISE TOP STC</c:v>
                </c:pt>
                <c:pt idx="21">
                  <c:v>CARE LBL ATT AT WAIST</c:v>
                </c:pt>
                <c:pt idx="22">
                  <c:v>S/FLY OL, MARK &amp; CUT </c:v>
                </c:pt>
                <c:pt idx="23">
                  <c:v>BACK YOKE JOIN BY FOLDER</c:v>
                </c:pt>
                <c:pt idx="24">
                  <c:v>BACK YOKE  CUT</c:v>
                </c:pt>
                <c:pt idx="25">
                  <c:v>BACK RISE JOIN BY FOLDER</c:v>
                </c:pt>
                <c:pt idx="26">
                  <c:v>BACK RISE CUT</c:v>
                </c:pt>
                <c:pt idx="27">
                  <c:v>BACK YORK &amp; CORD STC PLSMNT MARK </c:v>
                </c:pt>
                <c:pt idx="28">
                  <c:v>WAIST BAND MATCH</c:v>
                </c:pt>
                <c:pt idx="29">
                  <c:v>FRONT &amp; BACK PART MATCH </c:v>
                </c:pt>
                <c:pt idx="30">
                  <c:v>INSEAM JOIN BY FOLDER</c:v>
                </c:pt>
                <c:pt idx="31">
                  <c:v>IN SEAM BODY ARRANGE</c:v>
                </c:pt>
                <c:pt idx="32">
                  <c:v>SIDE SEAM JOIN (LONG)</c:v>
                </c:pt>
                <c:pt idx="33">
                  <c:v>FRONT PKT END INSIDE BTK ( 2 ) WITH MARK</c:v>
                </c:pt>
                <c:pt idx="34">
                  <c:v>SIDE CORD STC</c:v>
                </c:pt>
                <c:pt idx="35">
                  <c:v>WAIST BAND SHEARING STC</c:v>
                </c:pt>
                <c:pt idx="36">
                  <c:v>FRONT WAIST MOUTH MARK</c:v>
                </c:pt>
                <c:pt idx="37">
                  <c:v>BODY TURN</c:v>
                </c:pt>
                <c:pt idx="38">
                  <c:v>WAIST BAND MARK (1PCS)</c:v>
                </c:pt>
                <c:pt idx="39">
                  <c:v>WAIST BELT JOIN WITH 2 MOUTH CLOSE (01 PCS)</c:v>
                </c:pt>
                <c:pt idx="40">
                  <c:v>WAIST BTM MOUTH CLOSE TACK</c:v>
                </c:pt>
                <c:pt idx="41">
                  <c:v>WAIST TOP MOUTH CLOSE TACK</c:v>
                </c:pt>
                <c:pt idx="42">
                  <c:v>BOTTOM HEM MARK &amp; WAIST LOOP POSITION MARK (4 LOOP)</c:v>
                </c:pt>
                <c:pt idx="43">
                  <c:v>BOTTOM HEM MAKE </c:v>
                </c:pt>
                <c:pt idx="44">
                  <c:v>FRONT PKT BAG BTK ( 2 )</c:v>
                </c:pt>
                <c:pt idx="45">
                  <c:v>FRONT BTK ( 2 )</c:v>
                </c:pt>
                <c:pt idx="46">
                  <c:v>BACK PKT  WITH REINFO BTK ( 4 )</c:v>
                </c:pt>
                <c:pt idx="47">
                  <c:v>WAIST LOOP ATTACH WITH  SUPPORT ( 7 LOOPS)</c:v>
                </c:pt>
                <c:pt idx="48">
                  <c:v>FINAL TRIMMING</c:v>
                </c:pt>
                <c:pt idx="49">
                  <c:v>WAIST LOOP MAKE BY FOLDER &amp; MATCH </c:v>
                </c:pt>
                <c:pt idx="50">
                  <c:v>WAIST MOUTH EYE HOLE</c:v>
                </c:pt>
              </c:strCache>
            </c:strRef>
          </c:cat>
          <c:val>
            <c:numRef>
              <c:f>'NON -BALANCING'!$G$110:$G$160</c:f>
              <c:numCache>
                <c:formatCode>0</c:formatCode>
                <c:ptCount val="51"/>
                <c:pt idx="0">
                  <c:v>130.43478260869566</c:v>
                </c:pt>
                <c:pt idx="1">
                  <c:v>149.06832298136646</c:v>
                </c:pt>
                <c:pt idx="2">
                  <c:v>250.43478260869568</c:v>
                </c:pt>
                <c:pt idx="3">
                  <c:v>198.75776397515529</c:v>
                </c:pt>
                <c:pt idx="4">
                  <c:v>195.6521739130435</c:v>
                </c:pt>
                <c:pt idx="5">
                  <c:v>219.67963386727692</c:v>
                </c:pt>
                <c:pt idx="6">
                  <c:v>215.8920539730135</c:v>
                </c:pt>
                <c:pt idx="7">
                  <c:v>205.27441197434072</c:v>
                </c:pt>
                <c:pt idx="8">
                  <c:v>245.31312325488634</c:v>
                </c:pt>
                <c:pt idx="9">
                  <c:v>236.28025773495096</c:v>
                </c:pt>
                <c:pt idx="10">
                  <c:v>211.5218940779076</c:v>
                </c:pt>
                <c:pt idx="11">
                  <c:v>223.6024844720497</c:v>
                </c:pt>
                <c:pt idx="12">
                  <c:v>212.23286661753872</c:v>
                </c:pt>
                <c:pt idx="13">
                  <c:v>240.80267558528431</c:v>
                </c:pt>
                <c:pt idx="14">
                  <c:v>189.72332015810278</c:v>
                </c:pt>
                <c:pt idx="15">
                  <c:v>215.8920539730135</c:v>
                </c:pt>
                <c:pt idx="16">
                  <c:v>178.88198757763976</c:v>
                </c:pt>
                <c:pt idx="17">
                  <c:v>255.54569653948539</c:v>
                </c:pt>
                <c:pt idx="18">
                  <c:v>266.4199814986124</c:v>
                </c:pt>
                <c:pt idx="19">
                  <c:v>205.27441197434072</c:v>
                </c:pt>
                <c:pt idx="20">
                  <c:v>195.6521739130435</c:v>
                </c:pt>
                <c:pt idx="21">
                  <c:v>192.64214046822747</c:v>
                </c:pt>
                <c:pt idx="22">
                  <c:v>208.69565217391306</c:v>
                </c:pt>
                <c:pt idx="23">
                  <c:v>250.43478260869568</c:v>
                </c:pt>
                <c:pt idx="24">
                  <c:v>272.21172022684311</c:v>
                </c:pt>
                <c:pt idx="25">
                  <c:v>245.52429667519183</c:v>
                </c:pt>
                <c:pt idx="26">
                  <c:v>245.52429667519183</c:v>
                </c:pt>
                <c:pt idx="27">
                  <c:v>198.75776397515529</c:v>
                </c:pt>
                <c:pt idx="28">
                  <c:v>215.8920539730135</c:v>
                </c:pt>
                <c:pt idx="29">
                  <c:v>231.8840579710145</c:v>
                </c:pt>
                <c:pt idx="30">
                  <c:v>169.2126909518214</c:v>
                </c:pt>
                <c:pt idx="31">
                  <c:v>169.2126909518214</c:v>
                </c:pt>
                <c:pt idx="32">
                  <c:v>182.13679577221865</c:v>
                </c:pt>
                <c:pt idx="33">
                  <c:v>198.75776397515529</c:v>
                </c:pt>
                <c:pt idx="34">
                  <c:v>235.57060897214353</c:v>
                </c:pt>
                <c:pt idx="35">
                  <c:v>215.8920539730135</c:v>
                </c:pt>
                <c:pt idx="36">
                  <c:v>158.50302696752891</c:v>
                </c:pt>
                <c:pt idx="37">
                  <c:v>212.23286661753872</c:v>
                </c:pt>
                <c:pt idx="38">
                  <c:v>99.378881987577643</c:v>
                </c:pt>
                <c:pt idx="39">
                  <c:v>99.325845506297028</c:v>
                </c:pt>
                <c:pt idx="40">
                  <c:v>212.23286661753872</c:v>
                </c:pt>
                <c:pt idx="41">
                  <c:v>208.69565217391306</c:v>
                </c:pt>
                <c:pt idx="42">
                  <c:v>178.88198757763976</c:v>
                </c:pt>
                <c:pt idx="43">
                  <c:v>154.11517145312826</c:v>
                </c:pt>
                <c:pt idx="44">
                  <c:v>139.13043478260872</c:v>
                </c:pt>
                <c:pt idx="45">
                  <c:v>136.10586011342156</c:v>
                </c:pt>
                <c:pt idx="46">
                  <c:v>149.06832298136646</c:v>
                </c:pt>
                <c:pt idx="47">
                  <c:v>158.50302696752891</c:v>
                </c:pt>
                <c:pt idx="48">
                  <c:v>189.72332015810278</c:v>
                </c:pt>
                <c:pt idx="49">
                  <c:v>208.69565217391306</c:v>
                </c:pt>
                <c:pt idx="50">
                  <c:v>127.7728482697427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60D2-48C2-AF3D-4D13BD944A4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8364288"/>
        <c:axId val="208365824"/>
      </c:lineChart>
      <c:catAx>
        <c:axId val="208364288"/>
        <c:scaling>
          <c:orientation val="minMax"/>
        </c:scaling>
        <c:delete val="0"/>
        <c:axPos val="b"/>
        <c:majorGridlines/>
        <c:numFmt formatCode="General" sourceLinked="1"/>
        <c:majorTickMark val="out"/>
        <c:minorTickMark val="none"/>
        <c:tickLblPos val="nextTo"/>
        <c:txPr>
          <a:bodyPr rot="-5400000" vert="horz"/>
          <a:lstStyle/>
          <a:p>
            <a:pPr>
              <a:defRPr sz="1800" b="1"/>
            </a:pPr>
            <a:endParaRPr lang="en-US"/>
          </a:p>
        </c:txPr>
        <c:crossAx val="208365824"/>
        <c:crosses val="autoZero"/>
        <c:auto val="1"/>
        <c:lblAlgn val="ctr"/>
        <c:lblOffset val="100"/>
        <c:noMultiLvlLbl val="0"/>
      </c:catAx>
      <c:valAx>
        <c:axId val="208365824"/>
        <c:scaling>
          <c:orientation val="minMax"/>
          <c:max val="300"/>
          <c:min val="0"/>
        </c:scaling>
        <c:delete val="0"/>
        <c:axPos val="l"/>
        <c:majorGridlines>
          <c:spPr>
            <a:ln w="47625"/>
          </c:spPr>
        </c:majorGridlines>
        <c:numFmt formatCode="0" sourceLinked="1"/>
        <c:majorTickMark val="out"/>
        <c:minorTickMark val="none"/>
        <c:tickLblPos val="nextTo"/>
        <c:txPr>
          <a:bodyPr/>
          <a:lstStyle/>
          <a:p>
            <a:pPr>
              <a:defRPr sz="1800"/>
            </a:pPr>
            <a:endParaRPr lang="en-US"/>
          </a:p>
        </c:txPr>
        <c:crossAx val="208364288"/>
        <c:crosses val="autoZero"/>
        <c:crossBetween val="between"/>
        <c:majorUnit val="150"/>
        <c:minorUnit val="20"/>
      </c:valAx>
      <c:spPr>
        <a:effectLst>
          <a:glow>
            <a:schemeClr val="accent1"/>
          </a:glow>
          <a:outerShdw blurRad="50800" dist="50800" sx="1000" sy="1000" algn="ctr" rotWithShape="0">
            <a:srgbClr val="000000"/>
          </a:outerShdw>
        </a:effectLst>
      </c:spPr>
    </c:plotArea>
    <c:plotVisOnly val="1"/>
    <c:dispBlanksAs val="gap"/>
    <c:showDLblsOverMax val="0"/>
  </c:chart>
  <c:spPr>
    <a:ln w="31750"/>
    <a:effectLst>
      <a:outerShdw blurRad="50800" dist="50800" dir="5400000" algn="ctr" rotWithShape="0">
        <a:srgbClr val="000000">
          <a:alpha val="92000"/>
        </a:srgbClr>
      </a:outerShdw>
    </a:effectLst>
  </c:spPr>
  <c:printSettings>
    <c:headerFooter/>
    <c:pageMargins b="0.75" l="0.7" r="0.7" t="0.75" header="0.3" footer="0.3"/>
    <c:pageSetup orientation="portrait"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75</xdr:row>
      <xdr:rowOff>407476</xdr:rowOff>
    </xdr:from>
    <xdr:to>
      <xdr:col>21</xdr:col>
      <xdr:colOff>0</xdr:colOff>
      <xdr:row>94</xdr:row>
      <xdr:rowOff>95250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178"/>
  <sheetViews>
    <sheetView tabSelected="1" view="pageBreakPreview" zoomScale="50" zoomScaleNormal="40" zoomScaleSheetLayoutView="50" workbookViewId="0">
      <pane ySplit="9" topLeftCell="A53" activePane="bottomLeft" state="frozen"/>
      <selection pane="bottomLeft" activeCell="P69" sqref="P69"/>
    </sheetView>
  </sheetViews>
  <sheetFormatPr defaultColWidth="9.1328125" defaultRowHeight="18.25" x14ac:dyDescent="0.75"/>
  <cols>
    <col min="1" max="1" width="14.40625" style="54" customWidth="1"/>
    <col min="2" max="2" width="40.86328125" style="54" customWidth="1"/>
    <col min="3" max="3" width="18.54296875" style="54" customWidth="1"/>
    <col min="4" max="4" width="30.40625" style="54" customWidth="1"/>
    <col min="5" max="5" width="13" style="54" customWidth="1"/>
    <col min="6" max="10" width="11.1328125" style="54" customWidth="1"/>
    <col min="11" max="11" width="10.26953125" style="54" hidden="1" customWidth="1"/>
    <col min="12" max="12" width="16.26953125" style="54" customWidth="1"/>
    <col min="13" max="13" width="15.1328125" style="54" customWidth="1"/>
    <col min="14" max="14" width="12.7265625" style="54" customWidth="1"/>
    <col min="15" max="15" width="17.7265625" style="54" customWidth="1"/>
    <col min="16" max="16" width="23.54296875" style="54" customWidth="1"/>
    <col min="17" max="17" width="9.40625" style="54" customWidth="1"/>
    <col min="18" max="18" width="31.54296875" style="54" customWidth="1"/>
    <col min="19" max="20" width="13" style="54" customWidth="1"/>
    <col min="21" max="21" width="20.86328125" style="54" customWidth="1"/>
    <col min="22" max="28" width="9.1328125" style="8"/>
    <col min="29" max="29" width="25.7265625" style="8" customWidth="1"/>
    <col min="30" max="34" width="9.1328125" style="8"/>
    <col min="35" max="35" width="10" style="8" bestFit="1" customWidth="1"/>
    <col min="36" max="16384" width="9.1328125" style="8"/>
  </cols>
  <sheetData>
    <row r="1" spans="1:35" s="1" customFormat="1" ht="36" customHeight="1" x14ac:dyDescent="0.75">
      <c r="A1" s="106" t="s">
        <v>51</v>
      </c>
      <c r="B1" s="106"/>
      <c r="C1" s="106"/>
      <c r="D1" s="106"/>
      <c r="E1" s="106"/>
      <c r="F1" s="106"/>
      <c r="G1" s="106"/>
      <c r="H1" s="106"/>
      <c r="I1" s="106"/>
      <c r="J1" s="106"/>
      <c r="K1" s="106"/>
      <c r="L1" s="106"/>
      <c r="M1" s="106"/>
      <c r="N1" s="106"/>
      <c r="O1" s="106"/>
      <c r="P1" s="106"/>
      <c r="Q1" s="106"/>
      <c r="R1" s="106"/>
      <c r="S1" s="106"/>
      <c r="T1" s="106"/>
      <c r="U1" s="106"/>
    </row>
    <row r="2" spans="1:35" s="1" customFormat="1" ht="25.5" customHeight="1" x14ac:dyDescent="0.75">
      <c r="A2" s="107" t="s">
        <v>6</v>
      </c>
      <c r="B2" s="107"/>
      <c r="C2" s="107"/>
      <c r="D2" s="107"/>
      <c r="E2" s="107"/>
      <c r="F2" s="107"/>
      <c r="G2" s="107"/>
      <c r="H2" s="107"/>
      <c r="I2" s="107"/>
      <c r="J2" s="107"/>
      <c r="K2" s="107"/>
      <c r="L2" s="107"/>
      <c r="M2" s="107"/>
      <c r="N2" s="107"/>
      <c r="O2" s="107"/>
      <c r="P2" s="107"/>
      <c r="Q2" s="107"/>
      <c r="R2" s="107"/>
      <c r="S2" s="107"/>
      <c r="T2" s="107"/>
      <c r="U2" s="107"/>
    </row>
    <row r="3" spans="1:35" s="1" customFormat="1" ht="38.25" customHeight="1" thickBot="1" x14ac:dyDescent="0.9">
      <c r="A3" s="108" t="s">
        <v>7</v>
      </c>
      <c r="B3" s="108"/>
      <c r="C3" s="108"/>
      <c r="D3" s="108"/>
      <c r="E3" s="108"/>
      <c r="F3" s="108"/>
      <c r="G3" s="108"/>
      <c r="H3" s="108"/>
      <c r="I3" s="108"/>
      <c r="J3" s="108"/>
      <c r="K3" s="108"/>
      <c r="L3" s="108"/>
      <c r="M3" s="108"/>
      <c r="N3" s="108"/>
      <c r="O3" s="108"/>
      <c r="P3" s="108"/>
      <c r="Q3" s="108"/>
      <c r="R3" s="108"/>
      <c r="S3" s="108"/>
      <c r="T3" s="108"/>
      <c r="U3" s="108"/>
    </row>
    <row r="4" spans="1:35" s="9" customFormat="1" ht="37.5" customHeight="1" thickBot="1" x14ac:dyDescent="0.9">
      <c r="A4" s="10" t="s">
        <v>20</v>
      </c>
      <c r="B4" s="11" t="s">
        <v>43</v>
      </c>
      <c r="C4" s="12"/>
      <c r="D4" s="13"/>
      <c r="E4" s="13"/>
      <c r="F4" s="65" t="s">
        <v>9</v>
      </c>
      <c r="G4" s="109" t="s">
        <v>58</v>
      </c>
      <c r="H4" s="110"/>
      <c r="I4" s="111" t="s">
        <v>8</v>
      </c>
      <c r="J4" s="112"/>
      <c r="K4" s="66"/>
      <c r="L4" s="109">
        <v>249</v>
      </c>
      <c r="M4" s="110"/>
      <c r="N4" s="13"/>
      <c r="O4" s="13"/>
      <c r="P4" s="13"/>
      <c r="Q4" s="13"/>
      <c r="R4" s="14" t="s">
        <v>23</v>
      </c>
      <c r="S4" s="66"/>
      <c r="T4" s="113">
        <v>46036</v>
      </c>
      <c r="U4" s="114"/>
    </row>
    <row r="5" spans="1:35" s="9" customFormat="1" ht="37.5" customHeight="1" thickBot="1" x14ac:dyDescent="0.9">
      <c r="A5" s="10" t="s">
        <v>37</v>
      </c>
      <c r="B5" s="11" t="s">
        <v>190</v>
      </c>
      <c r="C5" s="12"/>
      <c r="D5" s="13"/>
      <c r="E5" s="13"/>
      <c r="F5" s="111" t="s">
        <v>11</v>
      </c>
      <c r="G5" s="115"/>
      <c r="H5" s="112"/>
      <c r="I5" s="116">
        <v>0.8</v>
      </c>
      <c r="J5" s="117"/>
      <c r="K5" s="66"/>
      <c r="L5" s="109">
        <v>155</v>
      </c>
      <c r="M5" s="110"/>
      <c r="N5" s="13"/>
      <c r="O5" s="13"/>
      <c r="P5" s="57"/>
      <c r="Q5" s="13"/>
      <c r="R5" s="14" t="s">
        <v>26</v>
      </c>
      <c r="S5" s="66"/>
      <c r="T5" s="118">
        <f>L6</f>
        <v>150</v>
      </c>
      <c r="U5" s="110"/>
    </row>
    <row r="6" spans="1:35" s="9" customFormat="1" ht="37.5" customHeight="1" thickBot="1" x14ac:dyDescent="0.9">
      <c r="A6" s="15" t="s">
        <v>21</v>
      </c>
      <c r="B6" s="16" t="s">
        <v>40</v>
      </c>
      <c r="C6" s="12"/>
      <c r="D6" s="13"/>
      <c r="E6" s="13"/>
      <c r="F6" s="111" t="s">
        <v>10</v>
      </c>
      <c r="G6" s="115"/>
      <c r="H6" s="112"/>
      <c r="I6" s="116">
        <f>L6*T6/60/P73</f>
        <v>0.62620967741935485</v>
      </c>
      <c r="J6" s="117"/>
      <c r="K6" s="66"/>
      <c r="L6" s="109">
        <v>150</v>
      </c>
      <c r="M6" s="110"/>
      <c r="N6" s="13"/>
      <c r="O6" s="13"/>
      <c r="P6" s="57"/>
      <c r="Q6" s="13"/>
      <c r="R6" s="14" t="s">
        <v>191</v>
      </c>
      <c r="S6" s="66"/>
      <c r="T6" s="118">
        <v>15.53</v>
      </c>
      <c r="U6" s="110"/>
    </row>
    <row r="7" spans="1:35" s="1" customFormat="1" ht="31.5" customHeight="1" thickBot="1" x14ac:dyDescent="0.9">
      <c r="A7" s="119"/>
      <c r="B7" s="119"/>
      <c r="C7" s="119"/>
      <c r="D7" s="119"/>
      <c r="E7" s="119"/>
      <c r="F7" s="119"/>
      <c r="G7" s="119"/>
      <c r="H7" s="119"/>
      <c r="I7" s="119"/>
      <c r="J7" s="119"/>
      <c r="K7" s="119"/>
      <c r="L7" s="119"/>
      <c r="M7" s="119"/>
      <c r="N7" s="119"/>
      <c r="O7" s="119"/>
      <c r="P7" s="119"/>
      <c r="Q7" s="119"/>
      <c r="R7" s="119"/>
      <c r="S7" s="119"/>
      <c r="T7" s="119"/>
      <c r="U7" s="119"/>
      <c r="Y7" s="2"/>
    </row>
    <row r="8" spans="1:35" s="3" customFormat="1" ht="54" customHeight="1" thickBot="1" x14ac:dyDescent="0.9">
      <c r="A8" s="94" t="s">
        <v>0</v>
      </c>
      <c r="B8" s="94" t="s">
        <v>1</v>
      </c>
      <c r="C8" s="94" t="s">
        <v>2</v>
      </c>
      <c r="D8" s="94" t="s">
        <v>13</v>
      </c>
      <c r="E8" s="94" t="s">
        <v>14</v>
      </c>
      <c r="F8" s="102" t="s">
        <v>22</v>
      </c>
      <c r="G8" s="103"/>
      <c r="H8" s="103"/>
      <c r="I8" s="103"/>
      <c r="J8" s="104"/>
      <c r="K8" s="63" t="s">
        <v>15</v>
      </c>
      <c r="L8" s="94" t="s">
        <v>16</v>
      </c>
      <c r="M8" s="94" t="s">
        <v>3</v>
      </c>
      <c r="N8" s="102" t="s">
        <v>5</v>
      </c>
      <c r="O8" s="103"/>
      <c r="P8" s="104"/>
      <c r="Q8" s="17"/>
      <c r="R8" s="94" t="s">
        <v>24</v>
      </c>
      <c r="S8" s="94" t="s">
        <v>34</v>
      </c>
      <c r="T8" s="94" t="s">
        <v>35</v>
      </c>
      <c r="U8" s="94" t="s">
        <v>19</v>
      </c>
      <c r="V8" s="98" t="s">
        <v>25</v>
      </c>
      <c r="W8" s="8"/>
      <c r="X8" s="8"/>
      <c r="Y8" s="8"/>
      <c r="Z8" s="8"/>
    </row>
    <row r="9" spans="1:35" s="4" customFormat="1" ht="45" customHeight="1" x14ac:dyDescent="0.75">
      <c r="A9" s="120"/>
      <c r="B9" s="95"/>
      <c r="C9" s="95"/>
      <c r="D9" s="95"/>
      <c r="E9" s="95"/>
      <c r="F9" s="18">
        <v>1</v>
      </c>
      <c r="G9" s="63">
        <v>2</v>
      </c>
      <c r="H9" s="63">
        <v>3</v>
      </c>
      <c r="I9" s="63">
        <v>4</v>
      </c>
      <c r="J9" s="63">
        <v>5</v>
      </c>
      <c r="K9" s="64"/>
      <c r="L9" s="95"/>
      <c r="M9" s="95"/>
      <c r="N9" s="18" t="s">
        <v>4</v>
      </c>
      <c r="O9" s="18" t="s">
        <v>17</v>
      </c>
      <c r="P9" s="63" t="s">
        <v>18</v>
      </c>
      <c r="Q9" s="64"/>
      <c r="R9" s="95"/>
      <c r="S9" s="95"/>
      <c r="T9" s="95"/>
      <c r="U9" s="95"/>
      <c r="V9" s="98"/>
      <c r="W9" s="8"/>
      <c r="X9" s="8"/>
      <c r="Y9" s="8"/>
      <c r="Z9" s="8"/>
    </row>
    <row r="10" spans="1:35" ht="34.5" customHeight="1" x14ac:dyDescent="0.75">
      <c r="A10" s="19" t="s">
        <v>121</v>
      </c>
      <c r="B10" s="20" t="s">
        <v>117</v>
      </c>
      <c r="C10" s="21" t="s">
        <v>124</v>
      </c>
      <c r="D10" s="21" t="s">
        <v>118</v>
      </c>
      <c r="E10" s="22">
        <v>28301</v>
      </c>
      <c r="F10" s="21">
        <v>10</v>
      </c>
      <c r="G10" s="21">
        <v>11</v>
      </c>
      <c r="H10" s="21">
        <v>12</v>
      </c>
      <c r="I10" s="21">
        <v>12</v>
      </c>
      <c r="J10" s="21">
        <v>13</v>
      </c>
      <c r="K10" s="23">
        <f t="shared" ref="K10:K69" si="0">IFERROR(AVERAGE(G10:J10),"")</f>
        <v>12</v>
      </c>
      <c r="L10" s="24">
        <f t="shared" ref="L10:L69" si="1">IFERROR((K10/60)*1.15,"")</f>
        <v>0.22999999999999998</v>
      </c>
      <c r="M10" s="70">
        <f>IFERROR(30/L10,"")</f>
        <v>130.43478260869566</v>
      </c>
      <c r="N10" s="69">
        <f t="shared" ref="N10:N69" si="2">IFERROR($L$5/M10,"")</f>
        <v>1.1883333333333332</v>
      </c>
      <c r="O10" s="22">
        <v>0.5</v>
      </c>
      <c r="P10" s="71">
        <f t="shared" ref="P10:P69" si="3">IFERROR(60-(N10*60),"")</f>
        <v>-11.299999999999997</v>
      </c>
      <c r="Q10" s="71"/>
      <c r="R10" s="26"/>
      <c r="S10" s="26"/>
      <c r="T10" s="26"/>
      <c r="U10" s="72">
        <f>M10</f>
        <v>130.43478260869566</v>
      </c>
      <c r="V10" s="99"/>
      <c r="AI10" s="5"/>
    </row>
    <row r="11" spans="1:35" ht="34.5" customHeight="1" x14ac:dyDescent="0.75">
      <c r="A11" s="19" t="s">
        <v>122</v>
      </c>
      <c r="B11" s="20" t="s">
        <v>119</v>
      </c>
      <c r="C11" s="21" t="s">
        <v>124</v>
      </c>
      <c r="D11" s="21" t="s">
        <v>118</v>
      </c>
      <c r="E11" s="22">
        <v>28301</v>
      </c>
      <c r="F11" s="21">
        <v>9</v>
      </c>
      <c r="G11" s="21">
        <v>10</v>
      </c>
      <c r="H11" s="21">
        <v>11</v>
      </c>
      <c r="I11" s="21">
        <v>10</v>
      </c>
      <c r="J11" s="21">
        <v>11</v>
      </c>
      <c r="K11" s="23">
        <f t="shared" si="0"/>
        <v>10.5</v>
      </c>
      <c r="L11" s="24">
        <f t="shared" si="1"/>
        <v>0.20124999999999998</v>
      </c>
      <c r="M11" s="70">
        <f>IFERROR(30/L11,"")</f>
        <v>149.06832298136646</v>
      </c>
      <c r="N11" s="69">
        <f t="shared" si="2"/>
        <v>1.0397916666666667</v>
      </c>
      <c r="O11" s="22">
        <v>0.5</v>
      </c>
      <c r="P11" s="71">
        <f t="shared" si="3"/>
        <v>-2.3875000000000028</v>
      </c>
      <c r="Q11" s="71"/>
      <c r="R11" s="26"/>
      <c r="S11" s="26"/>
      <c r="T11" s="26"/>
      <c r="U11" s="72">
        <f t="shared" ref="U11:U69" si="4">M11</f>
        <v>149.06832298136646</v>
      </c>
      <c r="V11" s="99"/>
      <c r="AI11" s="5"/>
    </row>
    <row r="12" spans="1:35" ht="34.5" customHeight="1" x14ac:dyDescent="0.75">
      <c r="A12" s="19">
        <v>2</v>
      </c>
      <c r="B12" s="20" t="s">
        <v>120</v>
      </c>
      <c r="C12" s="21" t="s">
        <v>125</v>
      </c>
      <c r="D12" s="21" t="s">
        <v>87</v>
      </c>
      <c r="E12" s="22">
        <v>29093</v>
      </c>
      <c r="F12" s="21">
        <v>12</v>
      </c>
      <c r="G12" s="21">
        <v>13</v>
      </c>
      <c r="H12" s="21">
        <v>11</v>
      </c>
      <c r="I12" s="21">
        <v>12</v>
      </c>
      <c r="J12" s="21">
        <v>14</v>
      </c>
      <c r="K12" s="23">
        <f t="shared" si="0"/>
        <v>12.5</v>
      </c>
      <c r="L12" s="24">
        <f t="shared" si="1"/>
        <v>0.23958333333333331</v>
      </c>
      <c r="M12" s="70">
        <f t="shared" ref="M12:M68" si="5">IFERROR(60/L12,"")</f>
        <v>250.43478260869568</v>
      </c>
      <c r="N12" s="69">
        <f t="shared" si="2"/>
        <v>0.61892361111111105</v>
      </c>
      <c r="O12" s="22">
        <v>1</v>
      </c>
      <c r="P12" s="71">
        <f t="shared" si="3"/>
        <v>22.864583333333336</v>
      </c>
      <c r="Q12" s="71"/>
      <c r="R12" s="26"/>
      <c r="S12" s="26"/>
      <c r="T12" s="26"/>
      <c r="U12" s="72">
        <f t="shared" si="4"/>
        <v>250.43478260869568</v>
      </c>
      <c r="V12" s="99"/>
      <c r="AI12" s="5"/>
    </row>
    <row r="13" spans="1:35" ht="34.5" customHeight="1" x14ac:dyDescent="0.75">
      <c r="A13" s="19">
        <v>3</v>
      </c>
      <c r="B13" s="20" t="s">
        <v>123</v>
      </c>
      <c r="C13" s="21" t="s">
        <v>39</v>
      </c>
      <c r="D13" s="21" t="s">
        <v>53</v>
      </c>
      <c r="E13" s="22">
        <v>144942</v>
      </c>
      <c r="F13" s="21">
        <v>15</v>
      </c>
      <c r="G13" s="21">
        <v>14</v>
      </c>
      <c r="H13" s="21">
        <v>18</v>
      </c>
      <c r="I13" s="21">
        <v>16</v>
      </c>
      <c r="J13" s="21">
        <v>15</v>
      </c>
      <c r="K13" s="69">
        <f t="shared" si="0"/>
        <v>15.75</v>
      </c>
      <c r="L13" s="24">
        <f t="shared" si="1"/>
        <v>0.301875</v>
      </c>
      <c r="M13" s="70">
        <f t="shared" si="5"/>
        <v>198.75776397515529</v>
      </c>
      <c r="N13" s="69">
        <f t="shared" si="2"/>
        <v>0.77984374999999995</v>
      </c>
      <c r="O13" s="22">
        <v>1</v>
      </c>
      <c r="P13" s="71">
        <f t="shared" si="3"/>
        <v>13.209375000000001</v>
      </c>
      <c r="Q13" s="71"/>
      <c r="R13" s="22"/>
      <c r="S13" s="22"/>
      <c r="T13" s="22"/>
      <c r="U13" s="72">
        <f t="shared" si="4"/>
        <v>198.75776397515529</v>
      </c>
      <c r="V13" s="99"/>
      <c r="AI13" s="5"/>
    </row>
    <row r="14" spans="1:35" s="67" customFormat="1" ht="34.5" customHeight="1" x14ac:dyDescent="0.75">
      <c r="A14" s="19">
        <v>4</v>
      </c>
      <c r="B14" s="20" t="s">
        <v>126</v>
      </c>
      <c r="C14" s="21" t="s">
        <v>127</v>
      </c>
      <c r="D14" s="21" t="s">
        <v>128</v>
      </c>
      <c r="E14" s="22">
        <v>29596</v>
      </c>
      <c r="F14" s="21">
        <v>18</v>
      </c>
      <c r="G14" s="21">
        <v>16</v>
      </c>
      <c r="H14" s="21">
        <v>17</v>
      </c>
      <c r="I14" s="21">
        <v>15</v>
      </c>
      <c r="J14" s="21">
        <v>16</v>
      </c>
      <c r="K14" s="69">
        <f t="shared" si="0"/>
        <v>16</v>
      </c>
      <c r="L14" s="24">
        <f t="shared" si="1"/>
        <v>0.30666666666666664</v>
      </c>
      <c r="M14" s="70">
        <f t="shared" si="5"/>
        <v>195.6521739130435</v>
      </c>
      <c r="N14" s="69">
        <f t="shared" si="2"/>
        <v>0.79222222222222216</v>
      </c>
      <c r="O14" s="22">
        <v>1</v>
      </c>
      <c r="P14" s="71">
        <f t="shared" si="3"/>
        <v>12.466666666666669</v>
      </c>
      <c r="Q14" s="71"/>
      <c r="R14" s="22"/>
      <c r="S14" s="22"/>
      <c r="T14" s="22"/>
      <c r="U14" s="72">
        <f t="shared" si="4"/>
        <v>195.6521739130435</v>
      </c>
      <c r="V14" s="99"/>
      <c r="AI14" s="68"/>
    </row>
    <row r="15" spans="1:35" ht="34.5" customHeight="1" x14ac:dyDescent="0.75">
      <c r="A15" s="19">
        <v>5</v>
      </c>
      <c r="B15" s="20" t="s">
        <v>129</v>
      </c>
      <c r="C15" s="21" t="s">
        <v>130</v>
      </c>
      <c r="D15" s="21" t="s">
        <v>57</v>
      </c>
      <c r="E15" s="22">
        <v>28553</v>
      </c>
      <c r="F15" s="21">
        <v>15</v>
      </c>
      <c r="G15" s="21">
        <v>13</v>
      </c>
      <c r="H15" s="21">
        <v>14</v>
      </c>
      <c r="I15" s="21">
        <v>16</v>
      </c>
      <c r="J15" s="21">
        <v>14</v>
      </c>
      <c r="K15" s="69">
        <f t="shared" si="0"/>
        <v>14.25</v>
      </c>
      <c r="L15" s="24">
        <f t="shared" si="1"/>
        <v>0.27312499999999995</v>
      </c>
      <c r="M15" s="70">
        <f t="shared" si="5"/>
        <v>219.67963386727692</v>
      </c>
      <c r="N15" s="69">
        <f t="shared" si="2"/>
        <v>0.70557291666666655</v>
      </c>
      <c r="O15" s="22">
        <v>1</v>
      </c>
      <c r="P15" s="71">
        <f t="shared" si="3"/>
        <v>17.665625000000006</v>
      </c>
      <c r="Q15" s="71"/>
      <c r="R15" s="22"/>
      <c r="S15" s="22"/>
      <c r="T15" s="22"/>
      <c r="U15" s="72">
        <f t="shared" si="4"/>
        <v>219.67963386727692</v>
      </c>
      <c r="V15" s="99"/>
      <c r="AI15" s="5"/>
    </row>
    <row r="16" spans="1:35" ht="55.5" customHeight="1" x14ac:dyDescent="0.75">
      <c r="A16" s="19">
        <v>6</v>
      </c>
      <c r="B16" s="20" t="s">
        <v>132</v>
      </c>
      <c r="C16" s="21" t="s">
        <v>41</v>
      </c>
      <c r="D16" s="21" t="s">
        <v>59</v>
      </c>
      <c r="E16" s="22">
        <v>29343</v>
      </c>
      <c r="F16" s="21">
        <v>16</v>
      </c>
      <c r="G16" s="21">
        <v>15</v>
      </c>
      <c r="H16" s="21">
        <v>14</v>
      </c>
      <c r="I16" s="21">
        <v>15</v>
      </c>
      <c r="J16" s="21">
        <v>14</v>
      </c>
      <c r="K16" s="69">
        <f t="shared" si="0"/>
        <v>14.5</v>
      </c>
      <c r="L16" s="24">
        <f t="shared" si="1"/>
        <v>0.27791666666666665</v>
      </c>
      <c r="M16" s="70">
        <f t="shared" si="5"/>
        <v>215.8920539730135</v>
      </c>
      <c r="N16" s="69">
        <f t="shared" si="2"/>
        <v>0.71795138888888888</v>
      </c>
      <c r="O16" s="22">
        <v>1</v>
      </c>
      <c r="P16" s="71">
        <f t="shared" si="3"/>
        <v>16.922916666666666</v>
      </c>
      <c r="Q16" s="71"/>
      <c r="R16" s="22"/>
      <c r="S16" s="22"/>
      <c r="T16" s="22"/>
      <c r="U16" s="72">
        <f t="shared" si="4"/>
        <v>215.8920539730135</v>
      </c>
      <c r="V16" s="99"/>
      <c r="AI16" s="5"/>
    </row>
    <row r="17" spans="1:35" ht="55.5" customHeight="1" x14ac:dyDescent="0.75">
      <c r="A17" s="19">
        <v>7</v>
      </c>
      <c r="B17" s="20" t="s">
        <v>133</v>
      </c>
      <c r="C17" s="21" t="s">
        <v>41</v>
      </c>
      <c r="D17" s="21" t="s">
        <v>86</v>
      </c>
      <c r="E17" s="22">
        <v>55267</v>
      </c>
      <c r="F17" s="21">
        <v>15</v>
      </c>
      <c r="G17" s="21">
        <v>16</v>
      </c>
      <c r="H17" s="21">
        <v>15</v>
      </c>
      <c r="I17" s="21">
        <v>14</v>
      </c>
      <c r="J17" s="21">
        <v>16</v>
      </c>
      <c r="K17" s="69">
        <f t="shared" si="0"/>
        <v>15.25</v>
      </c>
      <c r="L17" s="24">
        <f t="shared" si="1"/>
        <v>0.29229166666666662</v>
      </c>
      <c r="M17" s="70">
        <f t="shared" si="5"/>
        <v>205.27441197434072</v>
      </c>
      <c r="N17" s="69">
        <f t="shared" si="2"/>
        <v>0.75508680555555552</v>
      </c>
      <c r="O17" s="22">
        <v>1</v>
      </c>
      <c r="P17" s="71">
        <f t="shared" si="3"/>
        <v>14.694791666666667</v>
      </c>
      <c r="Q17" s="71"/>
      <c r="R17" s="22"/>
      <c r="S17" s="22"/>
      <c r="T17" s="22"/>
      <c r="U17" s="72">
        <f t="shared" si="4"/>
        <v>205.27441197434072</v>
      </c>
      <c r="V17" s="99"/>
      <c r="AI17" s="5"/>
    </row>
    <row r="18" spans="1:35" s="67" customFormat="1" ht="34.5" customHeight="1" x14ac:dyDescent="0.75">
      <c r="A18" s="76">
        <v>8</v>
      </c>
      <c r="B18" s="20" t="s">
        <v>131</v>
      </c>
      <c r="C18" s="21" t="s">
        <v>41</v>
      </c>
      <c r="D18" s="21" t="s">
        <v>61</v>
      </c>
      <c r="E18" s="22">
        <v>74932</v>
      </c>
      <c r="F18" s="21">
        <v>26</v>
      </c>
      <c r="G18" s="21">
        <v>24</v>
      </c>
      <c r="H18" s="21">
        <v>23</v>
      </c>
      <c r="I18" s="21">
        <v>25</v>
      </c>
      <c r="J18" s="21">
        <v>24</v>
      </c>
      <c r="K18" s="69">
        <f t="shared" si="0"/>
        <v>24</v>
      </c>
      <c r="L18" s="24">
        <f t="shared" si="1"/>
        <v>0.45999999999999996</v>
      </c>
      <c r="M18" s="70">
        <f t="shared" si="5"/>
        <v>130.43478260869566</v>
      </c>
      <c r="N18" s="69">
        <f t="shared" si="2"/>
        <v>1.1883333333333332</v>
      </c>
      <c r="O18" s="22">
        <v>1</v>
      </c>
      <c r="P18" s="71">
        <f t="shared" si="3"/>
        <v>-11.299999999999997</v>
      </c>
      <c r="Q18" s="71"/>
      <c r="R18" s="22"/>
      <c r="S18" s="22"/>
      <c r="T18" s="22"/>
      <c r="U18" s="100">
        <f>+M18+M19</f>
        <v>245.31312325488634</v>
      </c>
      <c r="V18" s="99"/>
      <c r="AI18" s="68"/>
    </row>
    <row r="19" spans="1:35" s="67" customFormat="1" ht="34.5" customHeight="1" x14ac:dyDescent="0.75">
      <c r="A19" s="78"/>
      <c r="B19" s="20" t="s">
        <v>131</v>
      </c>
      <c r="C19" s="21" t="s">
        <v>41</v>
      </c>
      <c r="D19" s="21" t="s">
        <v>92</v>
      </c>
      <c r="E19" s="22">
        <v>155286</v>
      </c>
      <c r="F19" s="21">
        <v>28</v>
      </c>
      <c r="G19" s="21">
        <v>25</v>
      </c>
      <c r="H19" s="21">
        <v>29</v>
      </c>
      <c r="I19" s="21">
        <v>27</v>
      </c>
      <c r="J19" s="21">
        <v>28</v>
      </c>
      <c r="K19" s="69">
        <f t="shared" si="0"/>
        <v>27.25</v>
      </c>
      <c r="L19" s="24">
        <f t="shared" si="1"/>
        <v>0.5222916666666666</v>
      </c>
      <c r="M19" s="70">
        <f t="shared" si="5"/>
        <v>114.87834064619068</v>
      </c>
      <c r="N19" s="69">
        <f t="shared" si="2"/>
        <v>1.349253472222222</v>
      </c>
      <c r="O19" s="22">
        <v>1</v>
      </c>
      <c r="P19" s="71">
        <f t="shared" si="3"/>
        <v>-20.955208333333317</v>
      </c>
      <c r="Q19" s="71"/>
      <c r="R19" s="22"/>
      <c r="S19" s="22"/>
      <c r="T19" s="22"/>
      <c r="U19" s="101"/>
      <c r="V19" s="99"/>
      <c r="AI19" s="68"/>
    </row>
    <row r="20" spans="1:35" ht="34.5" customHeight="1" x14ac:dyDescent="0.75">
      <c r="A20" s="76">
        <v>9</v>
      </c>
      <c r="B20" s="20" t="s">
        <v>134</v>
      </c>
      <c r="C20" s="21" t="s">
        <v>42</v>
      </c>
      <c r="D20" s="21" t="s">
        <v>62</v>
      </c>
      <c r="E20" s="22">
        <v>156530</v>
      </c>
      <c r="F20" s="21">
        <v>26</v>
      </c>
      <c r="G20" s="21">
        <v>26</v>
      </c>
      <c r="H20" s="21">
        <v>24</v>
      </c>
      <c r="I20" s="21">
        <v>28</v>
      </c>
      <c r="J20" s="21">
        <v>27</v>
      </c>
      <c r="K20" s="69">
        <f t="shared" si="0"/>
        <v>26.25</v>
      </c>
      <c r="L20" s="24">
        <f t="shared" si="1"/>
        <v>0.50312499999999993</v>
      </c>
      <c r="M20" s="70">
        <f t="shared" si="5"/>
        <v>119.25465838509318</v>
      </c>
      <c r="N20" s="69">
        <f t="shared" si="2"/>
        <v>1.2997395833333332</v>
      </c>
      <c r="O20" s="22">
        <v>1</v>
      </c>
      <c r="P20" s="71">
        <f t="shared" si="3"/>
        <v>-17.984374999999986</v>
      </c>
      <c r="Q20" s="71"/>
      <c r="R20" s="22"/>
      <c r="S20" s="22"/>
      <c r="T20" s="22"/>
      <c r="U20" s="100">
        <f>+M20+M21</f>
        <v>236.28025773495096</v>
      </c>
      <c r="V20" s="99"/>
      <c r="AI20" s="5"/>
    </row>
    <row r="21" spans="1:35" ht="34.5" customHeight="1" x14ac:dyDescent="0.75">
      <c r="A21" s="78"/>
      <c r="B21" s="20" t="s">
        <v>134</v>
      </c>
      <c r="C21" s="21" t="s">
        <v>42</v>
      </c>
      <c r="D21" s="21" t="s">
        <v>56</v>
      </c>
      <c r="E21" s="22">
        <v>30433</v>
      </c>
      <c r="F21" s="21">
        <v>24</v>
      </c>
      <c r="G21" s="21">
        <v>28</v>
      </c>
      <c r="H21" s="21">
        <v>26</v>
      </c>
      <c r="I21" s="21">
        <v>27</v>
      </c>
      <c r="J21" s="21">
        <v>26</v>
      </c>
      <c r="K21" s="69">
        <f t="shared" si="0"/>
        <v>26.75</v>
      </c>
      <c r="L21" s="24">
        <f t="shared" si="1"/>
        <v>0.51270833333333332</v>
      </c>
      <c r="M21" s="70">
        <f t="shared" si="5"/>
        <v>117.02559934985779</v>
      </c>
      <c r="N21" s="69">
        <f t="shared" si="2"/>
        <v>1.3244965277777778</v>
      </c>
      <c r="O21" s="22">
        <v>1</v>
      </c>
      <c r="P21" s="71">
        <f t="shared" si="3"/>
        <v>-19.469791666666666</v>
      </c>
      <c r="Q21" s="71"/>
      <c r="R21" s="22"/>
      <c r="S21" s="22"/>
      <c r="T21" s="22"/>
      <c r="U21" s="101"/>
      <c r="V21" s="99"/>
      <c r="AI21" s="5"/>
    </row>
    <row r="22" spans="1:35" ht="34.5" customHeight="1" x14ac:dyDescent="0.75">
      <c r="A22" s="76">
        <v>10</v>
      </c>
      <c r="B22" s="20" t="s">
        <v>135</v>
      </c>
      <c r="C22" s="21" t="s">
        <v>41</v>
      </c>
      <c r="D22" s="21" t="s">
        <v>63</v>
      </c>
      <c r="E22" s="22">
        <v>28772</v>
      </c>
      <c r="F22" s="21">
        <v>27</v>
      </c>
      <c r="G22" s="21">
        <v>31</v>
      </c>
      <c r="H22" s="21">
        <v>29</v>
      </c>
      <c r="I22" s="21">
        <v>30</v>
      </c>
      <c r="J22" s="21">
        <v>32</v>
      </c>
      <c r="K22" s="69">
        <f t="shared" si="0"/>
        <v>30.5</v>
      </c>
      <c r="L22" s="24">
        <f t="shared" si="1"/>
        <v>0.58458333333333323</v>
      </c>
      <c r="M22" s="70">
        <f t="shared" si="5"/>
        <v>102.63720598717036</v>
      </c>
      <c r="N22" s="69">
        <f t="shared" si="2"/>
        <v>1.510173611111111</v>
      </c>
      <c r="O22" s="22">
        <v>1</v>
      </c>
      <c r="P22" s="71">
        <f t="shared" si="3"/>
        <v>-30.610416666666666</v>
      </c>
      <c r="Q22" s="71"/>
      <c r="R22" s="22"/>
      <c r="S22" s="22"/>
      <c r="T22" s="22"/>
      <c r="U22" s="100">
        <f>+M22+M23</f>
        <v>211.5218940779076</v>
      </c>
      <c r="V22" s="99"/>
      <c r="AI22" s="5"/>
    </row>
    <row r="23" spans="1:35" ht="34.5" customHeight="1" x14ac:dyDescent="0.75">
      <c r="A23" s="78"/>
      <c r="B23" s="20" t="s">
        <v>135</v>
      </c>
      <c r="C23" s="21" t="s">
        <v>41</v>
      </c>
      <c r="D23" s="21" t="s">
        <v>136</v>
      </c>
      <c r="E23" s="22">
        <v>28773</v>
      </c>
      <c r="F23" s="21">
        <v>30</v>
      </c>
      <c r="G23" s="21">
        <v>27</v>
      </c>
      <c r="H23" s="21">
        <v>29</v>
      </c>
      <c r="I23" s="21">
        <v>31</v>
      </c>
      <c r="J23" s="21">
        <v>28</v>
      </c>
      <c r="K23" s="69">
        <f t="shared" si="0"/>
        <v>28.75</v>
      </c>
      <c r="L23" s="24">
        <f t="shared" si="1"/>
        <v>0.55104166666666665</v>
      </c>
      <c r="M23" s="70">
        <f t="shared" si="5"/>
        <v>108.88468809073724</v>
      </c>
      <c r="N23" s="69">
        <f t="shared" si="2"/>
        <v>1.4235243055555555</v>
      </c>
      <c r="O23" s="22">
        <v>1</v>
      </c>
      <c r="P23" s="71">
        <f t="shared" si="3"/>
        <v>-25.411458333333329</v>
      </c>
      <c r="Q23" s="71"/>
      <c r="R23" s="22"/>
      <c r="S23" s="22"/>
      <c r="T23" s="22"/>
      <c r="U23" s="101"/>
      <c r="V23" s="99"/>
      <c r="AI23" s="5"/>
    </row>
    <row r="24" spans="1:35" ht="34.5" customHeight="1" x14ac:dyDescent="0.75">
      <c r="A24" s="19">
        <v>11</v>
      </c>
      <c r="B24" s="20" t="s">
        <v>137</v>
      </c>
      <c r="C24" s="21" t="s">
        <v>41</v>
      </c>
      <c r="D24" s="21" t="s">
        <v>64</v>
      </c>
      <c r="E24" s="22">
        <v>39372</v>
      </c>
      <c r="F24" s="21">
        <v>12</v>
      </c>
      <c r="G24" s="21">
        <v>14</v>
      </c>
      <c r="H24" s="21">
        <v>13</v>
      </c>
      <c r="I24" s="21">
        <v>15</v>
      </c>
      <c r="J24" s="21">
        <v>14</v>
      </c>
      <c r="K24" s="69">
        <f t="shared" si="0"/>
        <v>14</v>
      </c>
      <c r="L24" s="24">
        <f t="shared" si="1"/>
        <v>0.26833333333333331</v>
      </c>
      <c r="M24" s="70">
        <f t="shared" si="5"/>
        <v>223.6024844720497</v>
      </c>
      <c r="N24" s="69">
        <f t="shared" si="2"/>
        <v>0.69319444444444445</v>
      </c>
      <c r="O24" s="22">
        <v>1</v>
      </c>
      <c r="P24" s="71">
        <f t="shared" si="3"/>
        <v>18.408333333333331</v>
      </c>
      <c r="Q24" s="71"/>
      <c r="R24" s="22"/>
      <c r="S24" s="22"/>
      <c r="T24" s="22"/>
      <c r="U24" s="72">
        <f t="shared" si="4"/>
        <v>223.6024844720497</v>
      </c>
      <c r="V24" s="99"/>
      <c r="AI24" s="5"/>
    </row>
    <row r="25" spans="1:35" ht="34.5" customHeight="1" x14ac:dyDescent="0.75">
      <c r="A25" s="19">
        <v>12</v>
      </c>
      <c r="B25" s="20" t="s">
        <v>138</v>
      </c>
      <c r="C25" s="21" t="s">
        <v>41</v>
      </c>
      <c r="D25" s="21" t="s">
        <v>56</v>
      </c>
      <c r="E25" s="22">
        <v>30736</v>
      </c>
      <c r="F25" s="21">
        <v>14</v>
      </c>
      <c r="G25" s="21">
        <v>15</v>
      </c>
      <c r="H25" s="21">
        <v>14</v>
      </c>
      <c r="I25" s="21">
        <v>16</v>
      </c>
      <c r="J25" s="21">
        <v>14</v>
      </c>
      <c r="K25" s="69">
        <f t="shared" si="0"/>
        <v>14.75</v>
      </c>
      <c r="L25" s="24">
        <f t="shared" si="1"/>
        <v>0.28270833333333328</v>
      </c>
      <c r="M25" s="70">
        <f t="shared" si="5"/>
        <v>212.23286661753872</v>
      </c>
      <c r="N25" s="69">
        <f t="shared" si="2"/>
        <v>0.73032986111111098</v>
      </c>
      <c r="O25" s="22">
        <v>1</v>
      </c>
      <c r="P25" s="71">
        <f t="shared" si="3"/>
        <v>16.18020833333334</v>
      </c>
      <c r="Q25" s="71"/>
      <c r="R25" s="22"/>
      <c r="S25" s="22"/>
      <c r="T25" s="22"/>
      <c r="U25" s="72">
        <f t="shared" si="4"/>
        <v>212.23286661753872</v>
      </c>
      <c r="V25" s="99"/>
      <c r="AI25" s="5"/>
    </row>
    <row r="26" spans="1:35" ht="34.5" customHeight="1" x14ac:dyDescent="0.75">
      <c r="A26" s="19">
        <v>13</v>
      </c>
      <c r="B26" s="20" t="s">
        <v>139</v>
      </c>
      <c r="C26" s="21" t="s">
        <v>42</v>
      </c>
      <c r="D26" s="21" t="s">
        <v>65</v>
      </c>
      <c r="E26" s="22">
        <v>28871</v>
      </c>
      <c r="F26" s="21">
        <v>12</v>
      </c>
      <c r="G26" s="21">
        <v>13</v>
      </c>
      <c r="H26" s="21">
        <v>12</v>
      </c>
      <c r="I26" s="21">
        <v>14</v>
      </c>
      <c r="J26" s="21">
        <v>13</v>
      </c>
      <c r="K26" s="69">
        <f t="shared" si="0"/>
        <v>13</v>
      </c>
      <c r="L26" s="24">
        <f t="shared" si="1"/>
        <v>0.24916666666666665</v>
      </c>
      <c r="M26" s="70">
        <f t="shared" si="5"/>
        <v>240.80267558528431</v>
      </c>
      <c r="N26" s="69">
        <f t="shared" si="2"/>
        <v>0.64368055555555548</v>
      </c>
      <c r="O26" s="22">
        <v>1</v>
      </c>
      <c r="P26" s="71">
        <f t="shared" si="3"/>
        <v>21.37916666666667</v>
      </c>
      <c r="Q26" s="71"/>
      <c r="R26" s="22"/>
      <c r="S26" s="22"/>
      <c r="T26" s="22"/>
      <c r="U26" s="72">
        <f t="shared" si="4"/>
        <v>240.80267558528431</v>
      </c>
      <c r="V26" s="99"/>
      <c r="AI26" s="5"/>
    </row>
    <row r="27" spans="1:35" ht="34.5" customHeight="1" x14ac:dyDescent="0.75">
      <c r="A27" s="19">
        <v>14</v>
      </c>
      <c r="B27" s="20" t="s">
        <v>140</v>
      </c>
      <c r="C27" s="21" t="s">
        <v>42</v>
      </c>
      <c r="D27" s="21" t="s">
        <v>66</v>
      </c>
      <c r="E27" s="22">
        <v>29381</v>
      </c>
      <c r="F27" s="21">
        <v>16</v>
      </c>
      <c r="G27" s="21">
        <v>18</v>
      </c>
      <c r="H27" s="21">
        <v>15</v>
      </c>
      <c r="I27" s="21">
        <v>17</v>
      </c>
      <c r="J27" s="21">
        <v>16</v>
      </c>
      <c r="K27" s="69">
        <f t="shared" si="0"/>
        <v>16.5</v>
      </c>
      <c r="L27" s="24">
        <f t="shared" si="1"/>
        <v>0.31624999999999998</v>
      </c>
      <c r="M27" s="70">
        <f t="shared" si="5"/>
        <v>189.72332015810278</v>
      </c>
      <c r="N27" s="69">
        <f t="shared" si="2"/>
        <v>0.81697916666666659</v>
      </c>
      <c r="O27" s="22">
        <v>1</v>
      </c>
      <c r="P27" s="71">
        <f t="shared" si="3"/>
        <v>10.981250000000003</v>
      </c>
      <c r="Q27" s="71"/>
      <c r="R27" s="22"/>
      <c r="S27" s="22"/>
      <c r="T27" s="22"/>
      <c r="U27" s="72">
        <f t="shared" si="4"/>
        <v>189.72332015810278</v>
      </c>
      <c r="V27" s="99"/>
      <c r="AI27" s="5"/>
    </row>
    <row r="28" spans="1:35" ht="34.5" customHeight="1" x14ac:dyDescent="0.75">
      <c r="A28" s="19">
        <v>15</v>
      </c>
      <c r="B28" s="28" t="s">
        <v>47</v>
      </c>
      <c r="C28" s="21" t="s">
        <v>41</v>
      </c>
      <c r="D28" s="21" t="s">
        <v>141</v>
      </c>
      <c r="E28" s="22">
        <v>81029</v>
      </c>
      <c r="F28" s="21">
        <v>15</v>
      </c>
      <c r="G28" s="21">
        <v>16</v>
      </c>
      <c r="H28" s="21">
        <v>13</v>
      </c>
      <c r="I28" s="21">
        <v>15</v>
      </c>
      <c r="J28" s="21">
        <v>14</v>
      </c>
      <c r="K28" s="69">
        <f t="shared" si="0"/>
        <v>14.5</v>
      </c>
      <c r="L28" s="24">
        <f t="shared" si="1"/>
        <v>0.27791666666666665</v>
      </c>
      <c r="M28" s="70">
        <f t="shared" si="5"/>
        <v>215.8920539730135</v>
      </c>
      <c r="N28" s="69">
        <f t="shared" si="2"/>
        <v>0.71795138888888888</v>
      </c>
      <c r="O28" s="22">
        <v>1</v>
      </c>
      <c r="P28" s="71">
        <f t="shared" si="3"/>
        <v>16.922916666666666</v>
      </c>
      <c r="Q28" s="71"/>
      <c r="R28" s="22"/>
      <c r="S28" s="22"/>
      <c r="T28" s="22"/>
      <c r="U28" s="72">
        <f t="shared" si="4"/>
        <v>215.8920539730135</v>
      </c>
      <c r="V28" s="99"/>
      <c r="AI28" s="5"/>
    </row>
    <row r="29" spans="1:35" ht="34.5" customHeight="1" x14ac:dyDescent="0.75">
      <c r="A29" s="19">
        <v>16</v>
      </c>
      <c r="B29" s="20" t="s">
        <v>142</v>
      </c>
      <c r="C29" s="21" t="s">
        <v>41</v>
      </c>
      <c r="D29" s="21" t="s">
        <v>66</v>
      </c>
      <c r="E29" s="22">
        <v>28778</v>
      </c>
      <c r="F29" s="21">
        <v>17</v>
      </c>
      <c r="G29" s="21">
        <v>18</v>
      </c>
      <c r="H29" s="21">
        <v>16</v>
      </c>
      <c r="I29" s="21">
        <v>18</v>
      </c>
      <c r="J29" s="21">
        <v>18</v>
      </c>
      <c r="K29" s="69">
        <f t="shared" si="0"/>
        <v>17.5</v>
      </c>
      <c r="L29" s="24">
        <f t="shared" si="1"/>
        <v>0.33541666666666664</v>
      </c>
      <c r="M29" s="70">
        <f t="shared" si="5"/>
        <v>178.88198757763976</v>
      </c>
      <c r="N29" s="69">
        <f t="shared" si="2"/>
        <v>0.86649305555555556</v>
      </c>
      <c r="O29" s="22">
        <v>1</v>
      </c>
      <c r="P29" s="71">
        <f t="shared" si="3"/>
        <v>8.0104166666666643</v>
      </c>
      <c r="Q29" s="71"/>
      <c r="R29" s="22"/>
      <c r="S29" s="22"/>
      <c r="T29" s="22"/>
      <c r="U29" s="72">
        <f t="shared" si="4"/>
        <v>178.88198757763976</v>
      </c>
      <c r="V29" s="99"/>
      <c r="AI29" s="5"/>
    </row>
    <row r="30" spans="1:35" ht="34.5" customHeight="1" x14ac:dyDescent="0.75">
      <c r="A30" s="19">
        <v>17</v>
      </c>
      <c r="B30" s="28" t="s">
        <v>143</v>
      </c>
      <c r="C30" s="21" t="s">
        <v>130</v>
      </c>
      <c r="D30" s="21" t="s">
        <v>67</v>
      </c>
      <c r="E30" s="22">
        <v>134555</v>
      </c>
      <c r="F30" s="22">
        <v>12</v>
      </c>
      <c r="G30" s="27">
        <v>13</v>
      </c>
      <c r="H30" s="27">
        <v>12</v>
      </c>
      <c r="I30" s="27">
        <v>13</v>
      </c>
      <c r="J30" s="27">
        <v>11</v>
      </c>
      <c r="K30" s="69">
        <f t="shared" si="0"/>
        <v>12.25</v>
      </c>
      <c r="L30" s="24">
        <f t="shared" si="1"/>
        <v>0.23479166666666665</v>
      </c>
      <c r="M30" s="70">
        <f t="shared" si="5"/>
        <v>255.54569653948539</v>
      </c>
      <c r="N30" s="69">
        <f t="shared" si="2"/>
        <v>0.60654513888888884</v>
      </c>
      <c r="O30" s="22">
        <v>1</v>
      </c>
      <c r="P30" s="71">
        <f t="shared" si="3"/>
        <v>23.607291666666669</v>
      </c>
      <c r="Q30" s="71"/>
      <c r="R30" s="22"/>
      <c r="S30" s="22"/>
      <c r="T30" s="22"/>
      <c r="U30" s="72">
        <f t="shared" si="4"/>
        <v>255.54569653948539</v>
      </c>
      <c r="V30" s="99"/>
      <c r="AI30" s="5"/>
    </row>
    <row r="31" spans="1:35" ht="34.5" customHeight="1" x14ac:dyDescent="0.75">
      <c r="A31" s="19">
        <v>18</v>
      </c>
      <c r="B31" s="28" t="s">
        <v>144</v>
      </c>
      <c r="C31" s="21" t="s">
        <v>41</v>
      </c>
      <c r="D31" s="21" t="s">
        <v>68</v>
      </c>
      <c r="E31" s="22">
        <v>29682</v>
      </c>
      <c r="F31" s="22">
        <v>11</v>
      </c>
      <c r="G31" s="27">
        <v>12</v>
      </c>
      <c r="H31" s="27">
        <v>12</v>
      </c>
      <c r="I31" s="27">
        <v>10</v>
      </c>
      <c r="J31" s="27">
        <v>13</v>
      </c>
      <c r="K31" s="69">
        <f t="shared" si="0"/>
        <v>11.75</v>
      </c>
      <c r="L31" s="24">
        <f t="shared" si="1"/>
        <v>0.22520833333333332</v>
      </c>
      <c r="M31" s="70">
        <f t="shared" si="5"/>
        <v>266.4199814986124</v>
      </c>
      <c r="N31" s="69">
        <f t="shared" si="2"/>
        <v>0.58178819444444441</v>
      </c>
      <c r="O31" s="22">
        <v>1</v>
      </c>
      <c r="P31" s="71">
        <f t="shared" si="3"/>
        <v>25.092708333333334</v>
      </c>
      <c r="Q31" s="71"/>
      <c r="R31" s="22"/>
      <c r="S31" s="22"/>
      <c r="T31" s="22"/>
      <c r="U31" s="72">
        <f t="shared" si="4"/>
        <v>266.4199814986124</v>
      </c>
      <c r="V31" s="99"/>
      <c r="AI31" s="5"/>
    </row>
    <row r="32" spans="1:35" ht="34.5" customHeight="1" x14ac:dyDescent="0.75">
      <c r="A32" s="19">
        <v>19</v>
      </c>
      <c r="B32" s="28" t="s">
        <v>145</v>
      </c>
      <c r="C32" s="21" t="s">
        <v>41</v>
      </c>
      <c r="D32" s="21" t="s">
        <v>70</v>
      </c>
      <c r="E32" s="22">
        <v>29392</v>
      </c>
      <c r="F32" s="21">
        <v>15</v>
      </c>
      <c r="G32" s="21">
        <v>16</v>
      </c>
      <c r="H32" s="21">
        <v>14</v>
      </c>
      <c r="I32" s="21">
        <v>16</v>
      </c>
      <c r="J32" s="21">
        <v>15</v>
      </c>
      <c r="K32" s="69">
        <f t="shared" si="0"/>
        <v>15.25</v>
      </c>
      <c r="L32" s="24">
        <f t="shared" si="1"/>
        <v>0.29229166666666662</v>
      </c>
      <c r="M32" s="70">
        <f t="shared" si="5"/>
        <v>205.27441197434072</v>
      </c>
      <c r="N32" s="69">
        <f t="shared" si="2"/>
        <v>0.75508680555555552</v>
      </c>
      <c r="O32" s="22">
        <v>1</v>
      </c>
      <c r="P32" s="71">
        <f t="shared" si="3"/>
        <v>14.694791666666667</v>
      </c>
      <c r="Q32" s="71"/>
      <c r="R32" s="22"/>
      <c r="S32" s="22"/>
      <c r="T32" s="22"/>
      <c r="U32" s="72">
        <f t="shared" si="4"/>
        <v>205.27441197434072</v>
      </c>
      <c r="V32" s="99"/>
      <c r="AI32" s="5"/>
    </row>
    <row r="33" spans="1:35" ht="34.5" customHeight="1" x14ac:dyDescent="0.75">
      <c r="A33" s="19">
        <v>20</v>
      </c>
      <c r="B33" s="28" t="s">
        <v>146</v>
      </c>
      <c r="C33" s="21" t="s">
        <v>42</v>
      </c>
      <c r="D33" s="21" t="s">
        <v>71</v>
      </c>
      <c r="E33" s="22">
        <v>29733</v>
      </c>
      <c r="F33" s="21">
        <v>14</v>
      </c>
      <c r="G33" s="21">
        <v>16</v>
      </c>
      <c r="H33" s="21">
        <v>15</v>
      </c>
      <c r="I33" s="21">
        <v>17</v>
      </c>
      <c r="J33" s="21">
        <v>16</v>
      </c>
      <c r="K33" s="69">
        <f t="shared" si="0"/>
        <v>16</v>
      </c>
      <c r="L33" s="24">
        <f t="shared" si="1"/>
        <v>0.30666666666666664</v>
      </c>
      <c r="M33" s="70">
        <f t="shared" si="5"/>
        <v>195.6521739130435</v>
      </c>
      <c r="N33" s="69">
        <f t="shared" si="2"/>
        <v>0.79222222222222216</v>
      </c>
      <c r="O33" s="22">
        <v>1</v>
      </c>
      <c r="P33" s="71">
        <f t="shared" si="3"/>
        <v>12.466666666666669</v>
      </c>
      <c r="Q33" s="71"/>
      <c r="R33" s="22"/>
      <c r="S33" s="22"/>
      <c r="T33" s="22"/>
      <c r="U33" s="72">
        <f t="shared" si="4"/>
        <v>195.6521739130435</v>
      </c>
      <c r="V33" s="99"/>
      <c r="AI33" s="5"/>
    </row>
    <row r="34" spans="1:35" ht="34.5" customHeight="1" x14ac:dyDescent="0.75">
      <c r="A34" s="19">
        <v>21</v>
      </c>
      <c r="B34" s="28" t="s">
        <v>147</v>
      </c>
      <c r="C34" s="21" t="s">
        <v>41</v>
      </c>
      <c r="D34" s="21" t="s">
        <v>69</v>
      </c>
      <c r="E34" s="22">
        <v>28760</v>
      </c>
      <c r="F34" s="21">
        <v>16</v>
      </c>
      <c r="G34" s="21">
        <v>17</v>
      </c>
      <c r="H34" s="21">
        <v>18</v>
      </c>
      <c r="I34" s="21">
        <v>15</v>
      </c>
      <c r="J34" s="21">
        <v>15</v>
      </c>
      <c r="K34" s="69">
        <f t="shared" si="0"/>
        <v>16.25</v>
      </c>
      <c r="L34" s="24">
        <f t="shared" si="1"/>
        <v>0.31145833333333328</v>
      </c>
      <c r="M34" s="70">
        <f t="shared" si="5"/>
        <v>192.64214046822747</v>
      </c>
      <c r="N34" s="69">
        <f t="shared" si="2"/>
        <v>0.80460069444444426</v>
      </c>
      <c r="O34" s="22">
        <v>1</v>
      </c>
      <c r="P34" s="71">
        <f t="shared" si="3"/>
        <v>11.723958333333343</v>
      </c>
      <c r="Q34" s="71"/>
      <c r="R34" s="22"/>
      <c r="S34" s="22"/>
      <c r="T34" s="22"/>
      <c r="U34" s="72">
        <f t="shared" si="4"/>
        <v>192.64214046822747</v>
      </c>
      <c r="V34" s="99"/>
      <c r="AI34" s="5"/>
    </row>
    <row r="35" spans="1:35" ht="34.5" customHeight="1" x14ac:dyDescent="0.75">
      <c r="A35" s="19">
        <v>22</v>
      </c>
      <c r="B35" s="28" t="s">
        <v>148</v>
      </c>
      <c r="C35" s="21" t="s">
        <v>130</v>
      </c>
      <c r="D35" s="21" t="s">
        <v>60</v>
      </c>
      <c r="E35" s="22">
        <v>15585</v>
      </c>
      <c r="F35" s="21">
        <v>13</v>
      </c>
      <c r="G35" s="21">
        <v>15</v>
      </c>
      <c r="H35" s="21">
        <v>14</v>
      </c>
      <c r="I35" s="21">
        <v>16</v>
      </c>
      <c r="J35" s="21">
        <v>15</v>
      </c>
      <c r="K35" s="69">
        <f t="shared" si="0"/>
        <v>15</v>
      </c>
      <c r="L35" s="24">
        <f t="shared" si="1"/>
        <v>0.28749999999999998</v>
      </c>
      <c r="M35" s="70">
        <f t="shared" si="5"/>
        <v>208.69565217391306</v>
      </c>
      <c r="N35" s="69">
        <f t="shared" si="2"/>
        <v>0.7427083333333333</v>
      </c>
      <c r="O35" s="22">
        <v>1</v>
      </c>
      <c r="P35" s="71">
        <f t="shared" si="3"/>
        <v>15.4375</v>
      </c>
      <c r="Q35" s="71"/>
      <c r="R35" s="22"/>
      <c r="S35" s="22"/>
      <c r="T35" s="22"/>
      <c r="U35" s="72">
        <f t="shared" si="4"/>
        <v>208.69565217391306</v>
      </c>
      <c r="V35" s="99"/>
      <c r="AI35" s="5"/>
    </row>
    <row r="36" spans="1:35" ht="34.5" customHeight="1" x14ac:dyDescent="0.75">
      <c r="A36" s="19">
        <v>23</v>
      </c>
      <c r="B36" s="28" t="s">
        <v>149</v>
      </c>
      <c r="C36" s="21" t="s">
        <v>36</v>
      </c>
      <c r="D36" s="21" t="s">
        <v>62</v>
      </c>
      <c r="E36" s="22">
        <v>63331</v>
      </c>
      <c r="F36" s="22">
        <v>13</v>
      </c>
      <c r="G36" s="27">
        <v>12</v>
      </c>
      <c r="H36" s="27">
        <v>13</v>
      </c>
      <c r="I36" s="27">
        <v>13</v>
      </c>
      <c r="J36" s="27">
        <v>12</v>
      </c>
      <c r="K36" s="69">
        <f t="shared" si="0"/>
        <v>12.5</v>
      </c>
      <c r="L36" s="24">
        <f t="shared" si="1"/>
        <v>0.23958333333333331</v>
      </c>
      <c r="M36" s="70">
        <f t="shared" si="5"/>
        <v>250.43478260869568</v>
      </c>
      <c r="N36" s="69">
        <f t="shared" si="2"/>
        <v>0.61892361111111105</v>
      </c>
      <c r="O36" s="22">
        <v>1</v>
      </c>
      <c r="P36" s="71">
        <f t="shared" si="3"/>
        <v>22.864583333333336</v>
      </c>
      <c r="Q36" s="71"/>
      <c r="R36" s="22"/>
      <c r="S36" s="22"/>
      <c r="T36" s="22"/>
      <c r="U36" s="72">
        <f t="shared" si="4"/>
        <v>250.43478260869568</v>
      </c>
      <c r="V36" s="99"/>
      <c r="AI36" s="5"/>
    </row>
    <row r="37" spans="1:35" ht="34.5" customHeight="1" x14ac:dyDescent="0.75">
      <c r="A37" s="19" t="s">
        <v>150</v>
      </c>
      <c r="B37" s="28" t="s">
        <v>151</v>
      </c>
      <c r="C37" s="27" t="s">
        <v>125</v>
      </c>
      <c r="D37" s="21" t="s">
        <v>93</v>
      </c>
      <c r="E37" s="22">
        <v>82175</v>
      </c>
      <c r="F37" s="22">
        <v>12</v>
      </c>
      <c r="G37" s="27">
        <v>10</v>
      </c>
      <c r="H37" s="27">
        <v>14</v>
      </c>
      <c r="I37" s="27">
        <v>10</v>
      </c>
      <c r="J37" s="27">
        <v>12</v>
      </c>
      <c r="K37" s="69">
        <f t="shared" si="0"/>
        <v>11.5</v>
      </c>
      <c r="L37" s="24">
        <f t="shared" si="1"/>
        <v>0.22041666666666668</v>
      </c>
      <c r="M37" s="70">
        <f t="shared" si="5"/>
        <v>272.21172022684311</v>
      </c>
      <c r="N37" s="69">
        <f t="shared" si="2"/>
        <v>0.56940972222222219</v>
      </c>
      <c r="O37" s="22">
        <v>1</v>
      </c>
      <c r="P37" s="71">
        <f t="shared" si="3"/>
        <v>25.835416666666667</v>
      </c>
      <c r="Q37" s="71"/>
      <c r="R37" s="22"/>
      <c r="S37" s="22"/>
      <c r="T37" s="22"/>
      <c r="U37" s="72">
        <f t="shared" si="4"/>
        <v>272.21172022684311</v>
      </c>
      <c r="V37" s="99"/>
      <c r="AI37" s="5"/>
    </row>
    <row r="38" spans="1:35" ht="34.5" customHeight="1" x14ac:dyDescent="0.75">
      <c r="A38" s="19">
        <v>24</v>
      </c>
      <c r="B38" s="28" t="s">
        <v>152</v>
      </c>
      <c r="C38" s="27" t="s">
        <v>36</v>
      </c>
      <c r="D38" s="21" t="s">
        <v>72</v>
      </c>
      <c r="E38" s="22">
        <v>29391</v>
      </c>
      <c r="F38" s="21">
        <v>13</v>
      </c>
      <c r="G38" s="21">
        <v>14</v>
      </c>
      <c r="H38" s="21">
        <v>12</v>
      </c>
      <c r="I38" s="21">
        <v>12</v>
      </c>
      <c r="J38" s="21">
        <v>13</v>
      </c>
      <c r="K38" s="69">
        <f t="shared" si="0"/>
        <v>12.75</v>
      </c>
      <c r="L38" s="24">
        <f t="shared" si="1"/>
        <v>0.24437499999999998</v>
      </c>
      <c r="M38" s="70">
        <f t="shared" si="5"/>
        <v>245.52429667519183</v>
      </c>
      <c r="N38" s="69">
        <f t="shared" si="2"/>
        <v>0.63130208333333326</v>
      </c>
      <c r="O38" s="22">
        <v>1</v>
      </c>
      <c r="P38" s="71">
        <f t="shared" si="3"/>
        <v>22.121875000000003</v>
      </c>
      <c r="Q38" s="71"/>
      <c r="R38" s="22"/>
      <c r="S38" s="22"/>
      <c r="T38" s="22"/>
      <c r="U38" s="72">
        <f t="shared" si="4"/>
        <v>245.52429667519183</v>
      </c>
      <c r="V38" s="99"/>
      <c r="AI38" s="5"/>
    </row>
    <row r="39" spans="1:35" s="67" customFormat="1" ht="34.5" customHeight="1" x14ac:dyDescent="0.75">
      <c r="A39" s="19" t="s">
        <v>153</v>
      </c>
      <c r="B39" s="28" t="s">
        <v>154</v>
      </c>
      <c r="C39" s="27" t="s">
        <v>125</v>
      </c>
      <c r="D39" s="21" t="s">
        <v>155</v>
      </c>
      <c r="E39" s="22">
        <v>140057</v>
      </c>
      <c r="F39" s="22">
        <v>10</v>
      </c>
      <c r="G39" s="27">
        <v>12</v>
      </c>
      <c r="H39" s="27">
        <v>14</v>
      </c>
      <c r="I39" s="27">
        <v>13</v>
      </c>
      <c r="J39" s="27">
        <v>12</v>
      </c>
      <c r="K39" s="69">
        <f t="shared" si="0"/>
        <v>12.75</v>
      </c>
      <c r="L39" s="24">
        <f t="shared" si="1"/>
        <v>0.24437499999999998</v>
      </c>
      <c r="M39" s="70">
        <f t="shared" si="5"/>
        <v>245.52429667519183</v>
      </c>
      <c r="N39" s="69">
        <f t="shared" si="2"/>
        <v>0.63130208333333326</v>
      </c>
      <c r="O39" s="22">
        <v>1</v>
      </c>
      <c r="P39" s="71">
        <f t="shared" si="3"/>
        <v>22.121875000000003</v>
      </c>
      <c r="Q39" s="71"/>
      <c r="R39" s="22"/>
      <c r="S39" s="22"/>
      <c r="T39" s="22"/>
      <c r="U39" s="72">
        <f t="shared" si="4"/>
        <v>245.52429667519183</v>
      </c>
      <c r="V39" s="99"/>
      <c r="AI39" s="68"/>
    </row>
    <row r="40" spans="1:35" ht="34.5" customHeight="1" x14ac:dyDescent="0.75">
      <c r="A40" s="19">
        <v>25</v>
      </c>
      <c r="B40" s="28" t="s">
        <v>156</v>
      </c>
      <c r="C40" s="27" t="s">
        <v>125</v>
      </c>
      <c r="D40" s="21" t="s">
        <v>157</v>
      </c>
      <c r="E40" s="22">
        <v>29414</v>
      </c>
      <c r="F40" s="22">
        <v>15</v>
      </c>
      <c r="G40" s="27">
        <v>16</v>
      </c>
      <c r="H40" s="27">
        <v>15</v>
      </c>
      <c r="I40" s="27">
        <v>17</v>
      </c>
      <c r="J40" s="27">
        <v>15</v>
      </c>
      <c r="K40" s="69">
        <f t="shared" si="0"/>
        <v>15.75</v>
      </c>
      <c r="L40" s="24">
        <f t="shared" si="1"/>
        <v>0.301875</v>
      </c>
      <c r="M40" s="70">
        <f t="shared" si="5"/>
        <v>198.75776397515529</v>
      </c>
      <c r="N40" s="69">
        <f t="shared" si="2"/>
        <v>0.77984374999999995</v>
      </c>
      <c r="O40" s="22">
        <v>1</v>
      </c>
      <c r="P40" s="71">
        <f t="shared" si="3"/>
        <v>13.209375000000001</v>
      </c>
      <c r="Q40" s="71"/>
      <c r="R40" s="22"/>
      <c r="S40" s="22"/>
      <c r="T40" s="22"/>
      <c r="U40" s="72">
        <f t="shared" si="4"/>
        <v>198.75776397515529</v>
      </c>
      <c r="V40" s="99"/>
      <c r="AI40" s="5"/>
    </row>
    <row r="41" spans="1:35" ht="34.5" customHeight="1" x14ac:dyDescent="0.75">
      <c r="A41" s="19">
        <v>26</v>
      </c>
      <c r="B41" s="28" t="s">
        <v>158</v>
      </c>
      <c r="C41" s="27" t="s">
        <v>41</v>
      </c>
      <c r="D41" s="21" t="s">
        <v>87</v>
      </c>
      <c r="E41" s="22">
        <v>77675</v>
      </c>
      <c r="F41" s="22">
        <v>14</v>
      </c>
      <c r="G41" s="27">
        <v>13</v>
      </c>
      <c r="H41" s="27">
        <v>15</v>
      </c>
      <c r="I41" s="27">
        <v>14</v>
      </c>
      <c r="J41" s="27">
        <v>16</v>
      </c>
      <c r="K41" s="69">
        <f t="shared" si="0"/>
        <v>14.5</v>
      </c>
      <c r="L41" s="24">
        <f t="shared" si="1"/>
        <v>0.27791666666666665</v>
      </c>
      <c r="M41" s="70">
        <f t="shared" si="5"/>
        <v>215.8920539730135</v>
      </c>
      <c r="N41" s="69">
        <f t="shared" si="2"/>
        <v>0.71795138888888888</v>
      </c>
      <c r="O41" s="22">
        <v>1</v>
      </c>
      <c r="P41" s="71">
        <f t="shared" si="3"/>
        <v>16.922916666666666</v>
      </c>
      <c r="Q41" s="71"/>
      <c r="R41" s="22"/>
      <c r="S41" s="22"/>
      <c r="T41" s="22"/>
      <c r="U41" s="72">
        <f t="shared" si="4"/>
        <v>215.8920539730135</v>
      </c>
      <c r="V41" s="99"/>
      <c r="AI41" s="5"/>
    </row>
    <row r="42" spans="1:35" ht="34.5" customHeight="1" x14ac:dyDescent="0.75">
      <c r="A42" s="19">
        <v>27</v>
      </c>
      <c r="B42" s="28" t="s">
        <v>159</v>
      </c>
      <c r="C42" s="27" t="s">
        <v>125</v>
      </c>
      <c r="D42" s="21" t="s">
        <v>73</v>
      </c>
      <c r="E42" s="22">
        <v>30513</v>
      </c>
      <c r="F42" s="22">
        <v>13</v>
      </c>
      <c r="G42" s="27">
        <v>12</v>
      </c>
      <c r="H42" s="27">
        <v>13</v>
      </c>
      <c r="I42" s="27">
        <v>15</v>
      </c>
      <c r="J42" s="27">
        <v>14</v>
      </c>
      <c r="K42" s="69">
        <f t="shared" si="0"/>
        <v>13.5</v>
      </c>
      <c r="L42" s="24">
        <f t="shared" si="1"/>
        <v>0.25874999999999998</v>
      </c>
      <c r="M42" s="70">
        <f t="shared" si="5"/>
        <v>231.8840579710145</v>
      </c>
      <c r="N42" s="69">
        <f t="shared" si="2"/>
        <v>0.66843750000000002</v>
      </c>
      <c r="O42" s="22">
        <v>1</v>
      </c>
      <c r="P42" s="71">
        <f t="shared" si="3"/>
        <v>19.893749999999997</v>
      </c>
      <c r="Q42" s="71"/>
      <c r="R42" s="22"/>
      <c r="S42" s="22"/>
      <c r="T42" s="22"/>
      <c r="U42" s="72">
        <f t="shared" si="4"/>
        <v>231.8840579710145</v>
      </c>
      <c r="V42" s="99"/>
      <c r="AI42" s="5"/>
    </row>
    <row r="43" spans="1:35" ht="34.5" customHeight="1" x14ac:dyDescent="0.75">
      <c r="A43" s="19">
        <v>28</v>
      </c>
      <c r="B43" s="28" t="s">
        <v>160</v>
      </c>
      <c r="C43" s="27" t="s">
        <v>36</v>
      </c>
      <c r="D43" s="21" t="s">
        <v>74</v>
      </c>
      <c r="E43" s="22">
        <v>29375</v>
      </c>
      <c r="F43" s="22">
        <v>20</v>
      </c>
      <c r="G43" s="27">
        <v>18</v>
      </c>
      <c r="H43" s="27">
        <v>19</v>
      </c>
      <c r="I43" s="27">
        <v>17</v>
      </c>
      <c r="J43" s="27">
        <v>20</v>
      </c>
      <c r="K43" s="69">
        <f t="shared" si="0"/>
        <v>18.5</v>
      </c>
      <c r="L43" s="24">
        <f t="shared" si="1"/>
        <v>0.35458333333333331</v>
      </c>
      <c r="M43" s="70">
        <f t="shared" si="5"/>
        <v>169.2126909518214</v>
      </c>
      <c r="N43" s="69">
        <f t="shared" si="2"/>
        <v>0.91600694444444442</v>
      </c>
      <c r="O43" s="22">
        <v>1</v>
      </c>
      <c r="P43" s="71">
        <f t="shared" si="3"/>
        <v>5.0395833333333329</v>
      </c>
      <c r="Q43" s="71"/>
      <c r="R43" s="22"/>
      <c r="S43" s="22"/>
      <c r="T43" s="22"/>
      <c r="U43" s="72">
        <f t="shared" si="4"/>
        <v>169.2126909518214</v>
      </c>
      <c r="V43" s="99"/>
      <c r="AI43" s="5"/>
    </row>
    <row r="44" spans="1:35" ht="34.5" customHeight="1" x14ac:dyDescent="0.75">
      <c r="A44" s="19" t="s">
        <v>161</v>
      </c>
      <c r="B44" s="28" t="s">
        <v>55</v>
      </c>
      <c r="C44" s="27" t="s">
        <v>125</v>
      </c>
      <c r="D44" s="21" t="s">
        <v>91</v>
      </c>
      <c r="E44" s="22">
        <v>29563</v>
      </c>
      <c r="F44" s="22">
        <v>18</v>
      </c>
      <c r="G44" s="27">
        <v>20</v>
      </c>
      <c r="H44" s="27">
        <v>17</v>
      </c>
      <c r="I44" s="27">
        <v>19</v>
      </c>
      <c r="J44" s="27">
        <v>18</v>
      </c>
      <c r="K44" s="69">
        <f t="shared" si="0"/>
        <v>18.5</v>
      </c>
      <c r="L44" s="24">
        <f t="shared" si="1"/>
        <v>0.35458333333333331</v>
      </c>
      <c r="M44" s="70">
        <f t="shared" si="5"/>
        <v>169.2126909518214</v>
      </c>
      <c r="N44" s="69">
        <f t="shared" si="2"/>
        <v>0.91600694444444442</v>
      </c>
      <c r="O44" s="22">
        <v>1</v>
      </c>
      <c r="P44" s="71">
        <f t="shared" si="3"/>
        <v>5.0395833333333329</v>
      </c>
      <c r="Q44" s="71"/>
      <c r="R44" s="22"/>
      <c r="S44" s="22"/>
      <c r="T44" s="22"/>
      <c r="U44" s="72">
        <f t="shared" si="4"/>
        <v>169.2126909518214</v>
      </c>
      <c r="V44" s="99"/>
      <c r="AI44" s="5"/>
    </row>
    <row r="45" spans="1:35" ht="34.5" customHeight="1" x14ac:dyDescent="0.75">
      <c r="A45" s="76">
        <v>29</v>
      </c>
      <c r="B45" s="28" t="s">
        <v>162</v>
      </c>
      <c r="C45" s="27" t="s">
        <v>163</v>
      </c>
      <c r="D45" s="21" t="s">
        <v>75</v>
      </c>
      <c r="E45" s="22">
        <v>29492</v>
      </c>
      <c r="F45" s="22">
        <v>33</v>
      </c>
      <c r="G45" s="27">
        <v>32</v>
      </c>
      <c r="H45" s="27">
        <v>35</v>
      </c>
      <c r="I45" s="27">
        <v>34</v>
      </c>
      <c r="J45" s="27">
        <v>36</v>
      </c>
      <c r="K45" s="69">
        <f t="shared" si="0"/>
        <v>34.25</v>
      </c>
      <c r="L45" s="24">
        <f t="shared" si="1"/>
        <v>0.65645833333333325</v>
      </c>
      <c r="M45" s="70">
        <f t="shared" si="5"/>
        <v>91.399555696604267</v>
      </c>
      <c r="N45" s="69">
        <f t="shared" si="2"/>
        <v>1.6958506944444443</v>
      </c>
      <c r="O45" s="22">
        <v>1</v>
      </c>
      <c r="P45" s="71">
        <f t="shared" si="3"/>
        <v>-41.751041666666652</v>
      </c>
      <c r="Q45" s="71"/>
      <c r="R45" s="22"/>
      <c r="S45" s="22"/>
      <c r="T45" s="22"/>
      <c r="U45" s="100">
        <f>+M45+M46</f>
        <v>182.13679577221865</v>
      </c>
      <c r="V45" s="99"/>
      <c r="AI45" s="5"/>
    </row>
    <row r="46" spans="1:35" ht="34.5" customHeight="1" x14ac:dyDescent="0.75">
      <c r="A46" s="78"/>
      <c r="B46" s="28" t="s">
        <v>162</v>
      </c>
      <c r="C46" s="27" t="s">
        <v>163</v>
      </c>
      <c r="D46" s="21" t="s">
        <v>52</v>
      </c>
      <c r="E46" s="22">
        <v>152277</v>
      </c>
      <c r="F46" s="21">
        <v>32</v>
      </c>
      <c r="G46" s="21">
        <v>33</v>
      </c>
      <c r="H46" s="21">
        <v>36</v>
      </c>
      <c r="I46" s="21">
        <v>34</v>
      </c>
      <c r="J46" s="21">
        <v>35</v>
      </c>
      <c r="K46" s="69">
        <f t="shared" si="0"/>
        <v>34.5</v>
      </c>
      <c r="L46" s="24">
        <f t="shared" si="1"/>
        <v>0.66124999999999989</v>
      </c>
      <c r="M46" s="70">
        <f t="shared" si="5"/>
        <v>90.73724007561438</v>
      </c>
      <c r="N46" s="69">
        <f t="shared" si="2"/>
        <v>1.7082291666666665</v>
      </c>
      <c r="O46" s="22">
        <v>1</v>
      </c>
      <c r="P46" s="71">
        <f t="shared" si="3"/>
        <v>-42.493749999999991</v>
      </c>
      <c r="Q46" s="71"/>
      <c r="R46" s="22"/>
      <c r="S46" s="22"/>
      <c r="T46" s="22"/>
      <c r="U46" s="101"/>
      <c r="V46" s="99"/>
      <c r="AI46" s="5"/>
    </row>
    <row r="47" spans="1:35" ht="34.5" customHeight="1" x14ac:dyDescent="0.75">
      <c r="A47" s="19">
        <v>30</v>
      </c>
      <c r="B47" s="20" t="s">
        <v>164</v>
      </c>
      <c r="C47" s="21" t="s">
        <v>45</v>
      </c>
      <c r="D47" s="21" t="s">
        <v>165</v>
      </c>
      <c r="E47" s="22">
        <v>121055</v>
      </c>
      <c r="F47" s="21">
        <v>15</v>
      </c>
      <c r="G47" s="21">
        <v>16</v>
      </c>
      <c r="H47" s="21">
        <v>14</v>
      </c>
      <c r="I47" s="21">
        <v>18</v>
      </c>
      <c r="J47" s="21">
        <v>15</v>
      </c>
      <c r="K47" s="69">
        <f t="shared" si="0"/>
        <v>15.75</v>
      </c>
      <c r="L47" s="24">
        <f t="shared" si="1"/>
        <v>0.301875</v>
      </c>
      <c r="M47" s="70">
        <f t="shared" si="5"/>
        <v>198.75776397515529</v>
      </c>
      <c r="N47" s="69">
        <f t="shared" si="2"/>
        <v>0.77984374999999995</v>
      </c>
      <c r="O47" s="22">
        <v>1</v>
      </c>
      <c r="P47" s="71">
        <f t="shared" si="3"/>
        <v>13.209375000000001</v>
      </c>
      <c r="Q47" s="71"/>
      <c r="R47" s="22"/>
      <c r="S47" s="22"/>
      <c r="T47" s="22"/>
      <c r="U47" s="72">
        <f t="shared" si="4"/>
        <v>198.75776397515529</v>
      </c>
      <c r="V47" s="99"/>
      <c r="AI47" s="5"/>
    </row>
    <row r="48" spans="1:35" ht="34.5" customHeight="1" x14ac:dyDescent="0.75">
      <c r="A48" s="76">
        <v>31</v>
      </c>
      <c r="B48" s="20" t="s">
        <v>48</v>
      </c>
      <c r="C48" s="21" t="s">
        <v>41</v>
      </c>
      <c r="D48" s="21" t="s">
        <v>85</v>
      </c>
      <c r="E48" s="22">
        <v>29355</v>
      </c>
      <c r="F48" s="21">
        <v>23</v>
      </c>
      <c r="G48" s="21">
        <v>26</v>
      </c>
      <c r="H48" s="21">
        <v>24</v>
      </c>
      <c r="I48" s="21">
        <v>27</v>
      </c>
      <c r="J48" s="21">
        <v>25</v>
      </c>
      <c r="K48" s="69">
        <f t="shared" si="0"/>
        <v>25.5</v>
      </c>
      <c r="L48" s="24">
        <f t="shared" si="1"/>
        <v>0.48874999999999996</v>
      </c>
      <c r="M48" s="70">
        <f t="shared" si="5"/>
        <v>122.76214833759592</v>
      </c>
      <c r="N48" s="69">
        <f t="shared" si="2"/>
        <v>1.2626041666666665</v>
      </c>
      <c r="O48" s="22">
        <v>1</v>
      </c>
      <c r="P48" s="71">
        <f t="shared" si="3"/>
        <v>-15.756249999999994</v>
      </c>
      <c r="Q48" s="71"/>
      <c r="R48" s="22"/>
      <c r="S48" s="22"/>
      <c r="T48" s="22"/>
      <c r="U48" s="100">
        <f>+M48+M49</f>
        <v>235.57060897214353</v>
      </c>
      <c r="V48" s="99"/>
      <c r="AI48" s="5"/>
    </row>
    <row r="49" spans="1:35" ht="34.5" customHeight="1" x14ac:dyDescent="0.75">
      <c r="A49" s="78"/>
      <c r="B49" s="20" t="s">
        <v>48</v>
      </c>
      <c r="C49" s="21" t="s">
        <v>41</v>
      </c>
      <c r="D49" s="21" t="s">
        <v>88</v>
      </c>
      <c r="E49" s="22">
        <v>153464</v>
      </c>
      <c r="F49" s="21">
        <v>26</v>
      </c>
      <c r="G49" s="21">
        <v>28</v>
      </c>
      <c r="H49" s="21">
        <v>27</v>
      </c>
      <c r="I49" s="21">
        <v>29</v>
      </c>
      <c r="J49" s="21">
        <v>27</v>
      </c>
      <c r="K49" s="69">
        <f t="shared" si="0"/>
        <v>27.75</v>
      </c>
      <c r="L49" s="24">
        <f t="shared" si="1"/>
        <v>0.53187499999999999</v>
      </c>
      <c r="M49" s="70">
        <f t="shared" si="5"/>
        <v>112.8084606345476</v>
      </c>
      <c r="N49" s="69">
        <f t="shared" si="2"/>
        <v>1.3740104166666665</v>
      </c>
      <c r="O49" s="22">
        <v>1</v>
      </c>
      <c r="P49" s="71">
        <f t="shared" si="3"/>
        <v>-22.440624999999983</v>
      </c>
      <c r="Q49" s="71"/>
      <c r="R49" s="22"/>
      <c r="S49" s="22"/>
      <c r="T49" s="22"/>
      <c r="U49" s="101"/>
      <c r="V49" s="99"/>
      <c r="AI49" s="5"/>
    </row>
    <row r="50" spans="1:35" ht="34.5" customHeight="1" x14ac:dyDescent="0.75">
      <c r="A50" s="19">
        <v>32</v>
      </c>
      <c r="B50" s="20" t="s">
        <v>166</v>
      </c>
      <c r="C50" s="21" t="s">
        <v>163</v>
      </c>
      <c r="D50" s="21" t="s">
        <v>77</v>
      </c>
      <c r="E50" s="22">
        <v>140733</v>
      </c>
      <c r="F50" s="21">
        <v>15</v>
      </c>
      <c r="G50" s="21">
        <v>14</v>
      </c>
      <c r="H50" s="21">
        <v>16</v>
      </c>
      <c r="I50" s="21">
        <v>13</v>
      </c>
      <c r="J50" s="21">
        <v>15</v>
      </c>
      <c r="K50" s="69">
        <f t="shared" si="0"/>
        <v>14.5</v>
      </c>
      <c r="L50" s="24">
        <f t="shared" si="1"/>
        <v>0.27791666666666665</v>
      </c>
      <c r="M50" s="70">
        <f t="shared" si="5"/>
        <v>215.8920539730135</v>
      </c>
      <c r="N50" s="69">
        <f t="shared" si="2"/>
        <v>0.71795138888888888</v>
      </c>
      <c r="O50" s="22">
        <v>1</v>
      </c>
      <c r="P50" s="71">
        <f t="shared" si="3"/>
        <v>16.922916666666666</v>
      </c>
      <c r="Q50" s="71"/>
      <c r="R50" s="22"/>
      <c r="S50" s="22"/>
      <c r="T50" s="22"/>
      <c r="U50" s="72">
        <f t="shared" si="4"/>
        <v>215.8920539730135</v>
      </c>
      <c r="V50" s="99"/>
      <c r="AI50" s="5"/>
    </row>
    <row r="51" spans="1:35" ht="34.5" customHeight="1" x14ac:dyDescent="0.75">
      <c r="A51" s="19">
        <v>33</v>
      </c>
      <c r="B51" s="20" t="s">
        <v>167</v>
      </c>
      <c r="C51" s="21" t="s">
        <v>125</v>
      </c>
      <c r="D51" s="21" t="s">
        <v>76</v>
      </c>
      <c r="E51" s="22">
        <v>63784</v>
      </c>
      <c r="F51" s="22">
        <v>17</v>
      </c>
      <c r="G51" s="27">
        <v>19</v>
      </c>
      <c r="H51" s="27">
        <v>22</v>
      </c>
      <c r="I51" s="27">
        <v>18</v>
      </c>
      <c r="J51" s="27">
        <v>20</v>
      </c>
      <c r="K51" s="69">
        <f t="shared" si="0"/>
        <v>19.75</v>
      </c>
      <c r="L51" s="24">
        <f t="shared" si="1"/>
        <v>0.37854166666666661</v>
      </c>
      <c r="M51" s="70">
        <f t="shared" si="5"/>
        <v>158.50302696752891</v>
      </c>
      <c r="N51" s="69">
        <f t="shared" si="2"/>
        <v>0.97789930555555549</v>
      </c>
      <c r="O51" s="22">
        <v>1</v>
      </c>
      <c r="P51" s="71">
        <f t="shared" si="3"/>
        <v>1.3260416666666686</v>
      </c>
      <c r="Q51" s="71"/>
      <c r="R51" s="22"/>
      <c r="S51" s="22"/>
      <c r="T51" s="22"/>
      <c r="U51" s="72">
        <f t="shared" si="4"/>
        <v>158.50302696752891</v>
      </c>
      <c r="V51" s="99"/>
      <c r="AI51" s="5"/>
    </row>
    <row r="52" spans="1:35" ht="34.5" customHeight="1" x14ac:dyDescent="0.75">
      <c r="A52" s="19">
        <v>34</v>
      </c>
      <c r="B52" s="20" t="s">
        <v>89</v>
      </c>
      <c r="C52" s="21" t="s">
        <v>125</v>
      </c>
      <c r="D52" s="21" t="s">
        <v>78</v>
      </c>
      <c r="E52" s="22">
        <v>141835</v>
      </c>
      <c r="F52" s="21">
        <v>13</v>
      </c>
      <c r="G52" s="21">
        <v>15</v>
      </c>
      <c r="H52" s="21">
        <v>16</v>
      </c>
      <c r="I52" s="21">
        <v>15</v>
      </c>
      <c r="J52" s="21">
        <v>13</v>
      </c>
      <c r="K52" s="69">
        <f t="shared" si="0"/>
        <v>14.75</v>
      </c>
      <c r="L52" s="24">
        <f t="shared" si="1"/>
        <v>0.28270833333333328</v>
      </c>
      <c r="M52" s="70">
        <f t="shared" si="5"/>
        <v>212.23286661753872</v>
      </c>
      <c r="N52" s="69">
        <f t="shared" si="2"/>
        <v>0.73032986111111098</v>
      </c>
      <c r="O52" s="22">
        <v>1</v>
      </c>
      <c r="P52" s="71">
        <f t="shared" si="3"/>
        <v>16.18020833333334</v>
      </c>
      <c r="Q52" s="71"/>
      <c r="R52" s="22"/>
      <c r="S52" s="22"/>
      <c r="T52" s="22"/>
      <c r="U52" s="72">
        <f t="shared" si="4"/>
        <v>212.23286661753872</v>
      </c>
      <c r="V52" s="99"/>
      <c r="AI52" s="5"/>
    </row>
    <row r="53" spans="1:35" ht="34.5" customHeight="1" x14ac:dyDescent="0.75">
      <c r="A53" s="19">
        <v>35</v>
      </c>
      <c r="B53" s="20" t="s">
        <v>168</v>
      </c>
      <c r="C53" s="21" t="s">
        <v>125</v>
      </c>
      <c r="D53" s="21" t="s">
        <v>79</v>
      </c>
      <c r="E53" s="22">
        <v>114855</v>
      </c>
      <c r="F53" s="21">
        <v>30</v>
      </c>
      <c r="G53" s="21">
        <v>34</v>
      </c>
      <c r="H53" s="21">
        <v>29</v>
      </c>
      <c r="I53" s="21">
        <v>32</v>
      </c>
      <c r="J53" s="21">
        <v>31</v>
      </c>
      <c r="K53" s="69">
        <f t="shared" si="0"/>
        <v>31.5</v>
      </c>
      <c r="L53" s="24">
        <f t="shared" si="1"/>
        <v>0.60375000000000001</v>
      </c>
      <c r="M53" s="70">
        <f t="shared" si="5"/>
        <v>99.378881987577643</v>
      </c>
      <c r="N53" s="69">
        <f t="shared" si="2"/>
        <v>1.5596874999999999</v>
      </c>
      <c r="O53" s="22">
        <v>1</v>
      </c>
      <c r="P53" s="71">
        <f t="shared" si="3"/>
        <v>-33.581249999999997</v>
      </c>
      <c r="Q53" s="71"/>
      <c r="R53" s="22"/>
      <c r="S53" s="22"/>
      <c r="T53" s="22"/>
      <c r="U53" s="72">
        <f t="shared" si="4"/>
        <v>99.378881987577643</v>
      </c>
      <c r="V53" s="99"/>
      <c r="AI53" s="5"/>
    </row>
    <row r="54" spans="1:35" ht="34.5" customHeight="1" x14ac:dyDescent="0.75">
      <c r="A54" s="76">
        <v>36</v>
      </c>
      <c r="B54" s="20" t="s">
        <v>169</v>
      </c>
      <c r="C54" s="21" t="s">
        <v>170</v>
      </c>
      <c r="D54" s="21" t="s">
        <v>171</v>
      </c>
      <c r="E54" s="22">
        <v>58408</v>
      </c>
      <c r="F54" s="21">
        <v>94</v>
      </c>
      <c r="G54" s="21">
        <v>85</v>
      </c>
      <c r="H54" s="21">
        <v>82</v>
      </c>
      <c r="I54" s="21">
        <v>89</v>
      </c>
      <c r="J54" s="21">
        <v>92</v>
      </c>
      <c r="K54" s="69">
        <f t="shared" si="0"/>
        <v>87</v>
      </c>
      <c r="L54" s="24">
        <f t="shared" si="1"/>
        <v>1.6674999999999998</v>
      </c>
      <c r="M54" s="70">
        <f t="shared" si="5"/>
        <v>35.982008995502255</v>
      </c>
      <c r="N54" s="69">
        <f t="shared" si="2"/>
        <v>4.3077083333333324</v>
      </c>
      <c r="O54" s="22">
        <v>1</v>
      </c>
      <c r="P54" s="71">
        <f t="shared" si="3"/>
        <v>-198.46249999999992</v>
      </c>
      <c r="Q54" s="71"/>
      <c r="R54" s="22"/>
      <c r="S54" s="22"/>
      <c r="T54" s="22"/>
      <c r="U54" s="100">
        <f>+M54+M55+M56</f>
        <v>99.325845506297028</v>
      </c>
      <c r="V54" s="99"/>
      <c r="AI54" s="5"/>
    </row>
    <row r="55" spans="1:35" ht="34.5" customHeight="1" x14ac:dyDescent="0.75">
      <c r="A55" s="77"/>
      <c r="B55" s="20" t="s">
        <v>169</v>
      </c>
      <c r="C55" s="21" t="s">
        <v>170</v>
      </c>
      <c r="D55" s="21" t="s">
        <v>172</v>
      </c>
      <c r="E55" s="22">
        <v>29113</v>
      </c>
      <c r="F55" s="21">
        <v>91</v>
      </c>
      <c r="G55" s="21">
        <v>98</v>
      </c>
      <c r="H55" s="21">
        <v>88</v>
      </c>
      <c r="I55" s="21">
        <v>96</v>
      </c>
      <c r="J55" s="21">
        <v>106</v>
      </c>
      <c r="K55" s="69">
        <f t="shared" si="0"/>
        <v>97</v>
      </c>
      <c r="L55" s="24">
        <f t="shared" si="1"/>
        <v>1.8591666666666666</v>
      </c>
      <c r="M55" s="70">
        <f t="shared" si="5"/>
        <v>32.27252353204841</v>
      </c>
      <c r="N55" s="69">
        <f t="shared" si="2"/>
        <v>4.8028472222222218</v>
      </c>
      <c r="O55" s="22">
        <v>1</v>
      </c>
      <c r="P55" s="71">
        <f t="shared" si="3"/>
        <v>-228.17083333333329</v>
      </c>
      <c r="Q55" s="71"/>
      <c r="R55" s="22"/>
      <c r="S55" s="22"/>
      <c r="T55" s="22"/>
      <c r="U55" s="105"/>
      <c r="V55" s="99"/>
      <c r="AI55" s="5"/>
    </row>
    <row r="56" spans="1:35" ht="34.5" customHeight="1" x14ac:dyDescent="0.75">
      <c r="A56" s="78"/>
      <c r="B56" s="20" t="s">
        <v>169</v>
      </c>
      <c r="C56" s="21" t="s">
        <v>170</v>
      </c>
      <c r="D56" s="21" t="s">
        <v>173</v>
      </c>
      <c r="E56" s="22">
        <v>30258</v>
      </c>
      <c r="F56" s="21">
        <v>108</v>
      </c>
      <c r="G56" s="21">
        <v>102</v>
      </c>
      <c r="H56" s="21">
        <v>95</v>
      </c>
      <c r="I56" s="21">
        <v>99</v>
      </c>
      <c r="J56" s="21">
        <v>107</v>
      </c>
      <c r="K56" s="69">
        <f t="shared" si="0"/>
        <v>100.75</v>
      </c>
      <c r="L56" s="24">
        <f t="shared" si="1"/>
        <v>1.9310416666666665</v>
      </c>
      <c r="M56" s="70">
        <f t="shared" si="5"/>
        <v>31.071312978746359</v>
      </c>
      <c r="N56" s="69">
        <f t="shared" si="2"/>
        <v>4.988524305555555</v>
      </c>
      <c r="O56" s="22">
        <v>1</v>
      </c>
      <c r="P56" s="71">
        <f t="shared" si="3"/>
        <v>-239.31145833333329</v>
      </c>
      <c r="Q56" s="71"/>
      <c r="R56" s="22"/>
      <c r="S56" s="22"/>
      <c r="T56" s="22"/>
      <c r="U56" s="101"/>
      <c r="V56" s="99"/>
      <c r="AI56" s="5"/>
    </row>
    <row r="57" spans="1:35" ht="34.5" customHeight="1" x14ac:dyDescent="0.75">
      <c r="A57" s="19" t="s">
        <v>174</v>
      </c>
      <c r="B57" s="20" t="s">
        <v>175</v>
      </c>
      <c r="C57" s="21" t="s">
        <v>125</v>
      </c>
      <c r="D57" s="96" t="s">
        <v>198</v>
      </c>
      <c r="E57" s="97"/>
      <c r="F57" s="21"/>
      <c r="G57" s="21"/>
      <c r="H57" s="21"/>
      <c r="I57" s="21"/>
      <c r="J57" s="21"/>
      <c r="K57" s="69" t="str">
        <f t="shared" si="0"/>
        <v/>
      </c>
      <c r="L57" s="24" t="str">
        <f t="shared" si="1"/>
        <v/>
      </c>
      <c r="M57" s="70" t="str">
        <f t="shared" si="5"/>
        <v/>
      </c>
      <c r="N57" s="69" t="str">
        <f t="shared" si="2"/>
        <v/>
      </c>
      <c r="O57" s="22"/>
      <c r="P57" s="71" t="str">
        <f t="shared" si="3"/>
        <v/>
      </c>
      <c r="Q57" s="71"/>
      <c r="R57" s="22"/>
      <c r="S57" s="22"/>
      <c r="T57" s="22"/>
      <c r="U57" s="72" t="str">
        <f t="shared" si="4"/>
        <v/>
      </c>
      <c r="V57" s="99"/>
      <c r="AI57" s="5"/>
    </row>
    <row r="58" spans="1:35" ht="34.5" customHeight="1" x14ac:dyDescent="0.75">
      <c r="A58" s="19">
        <v>37</v>
      </c>
      <c r="B58" s="20" t="s">
        <v>176</v>
      </c>
      <c r="C58" s="21" t="s">
        <v>41</v>
      </c>
      <c r="D58" s="21" t="s">
        <v>177</v>
      </c>
      <c r="E58" s="22">
        <v>29309</v>
      </c>
      <c r="F58" s="21">
        <v>15</v>
      </c>
      <c r="G58" s="21">
        <v>14</v>
      </c>
      <c r="H58" s="21">
        <v>16</v>
      </c>
      <c r="I58" s="21">
        <v>14</v>
      </c>
      <c r="J58" s="21">
        <v>15</v>
      </c>
      <c r="K58" s="69">
        <f t="shared" si="0"/>
        <v>14.75</v>
      </c>
      <c r="L58" s="24">
        <f t="shared" si="1"/>
        <v>0.28270833333333328</v>
      </c>
      <c r="M58" s="70">
        <f t="shared" si="5"/>
        <v>212.23286661753872</v>
      </c>
      <c r="N58" s="69">
        <f t="shared" si="2"/>
        <v>0.73032986111111098</v>
      </c>
      <c r="O58" s="22">
        <v>1</v>
      </c>
      <c r="P58" s="71">
        <f t="shared" si="3"/>
        <v>16.18020833333334</v>
      </c>
      <c r="Q58" s="71"/>
      <c r="R58" s="22"/>
      <c r="S58" s="22"/>
      <c r="T58" s="22"/>
      <c r="U58" s="72">
        <f t="shared" si="4"/>
        <v>212.23286661753872</v>
      </c>
      <c r="V58" s="99"/>
      <c r="AI58" s="5"/>
    </row>
    <row r="59" spans="1:35" ht="34.5" customHeight="1" x14ac:dyDescent="0.75">
      <c r="A59" s="19">
        <v>38</v>
      </c>
      <c r="B59" s="20" t="s">
        <v>178</v>
      </c>
      <c r="C59" s="21" t="s">
        <v>41</v>
      </c>
      <c r="D59" s="21" t="s">
        <v>179</v>
      </c>
      <c r="E59" s="22">
        <v>28792</v>
      </c>
      <c r="F59" s="21">
        <v>14</v>
      </c>
      <c r="G59" s="21">
        <v>16</v>
      </c>
      <c r="H59" s="21">
        <v>15</v>
      </c>
      <c r="I59" s="21">
        <v>15</v>
      </c>
      <c r="J59" s="21">
        <v>14</v>
      </c>
      <c r="K59" s="69">
        <f t="shared" si="0"/>
        <v>15</v>
      </c>
      <c r="L59" s="24">
        <f t="shared" si="1"/>
        <v>0.28749999999999998</v>
      </c>
      <c r="M59" s="70">
        <f t="shared" si="5"/>
        <v>208.69565217391306</v>
      </c>
      <c r="N59" s="69">
        <f t="shared" si="2"/>
        <v>0.7427083333333333</v>
      </c>
      <c r="O59" s="22">
        <v>1</v>
      </c>
      <c r="P59" s="71">
        <f t="shared" si="3"/>
        <v>15.4375</v>
      </c>
      <c r="Q59" s="71"/>
      <c r="R59" s="22"/>
      <c r="S59" s="22"/>
      <c r="T59" s="22"/>
      <c r="U59" s="72">
        <f t="shared" si="4"/>
        <v>208.69565217391306</v>
      </c>
      <c r="V59" s="99"/>
      <c r="AI59" s="5"/>
    </row>
    <row r="60" spans="1:35" ht="57" customHeight="1" x14ac:dyDescent="0.75">
      <c r="A60" s="19">
        <v>39</v>
      </c>
      <c r="B60" s="20" t="s">
        <v>180</v>
      </c>
      <c r="C60" s="21" t="s">
        <v>125</v>
      </c>
      <c r="D60" s="21" t="s">
        <v>80</v>
      </c>
      <c r="E60" s="22">
        <v>12149</v>
      </c>
      <c r="F60" s="21">
        <v>20</v>
      </c>
      <c r="G60" s="21">
        <v>18</v>
      </c>
      <c r="H60" s="21">
        <v>19</v>
      </c>
      <c r="I60" s="21">
        <v>17</v>
      </c>
      <c r="J60" s="21">
        <v>16</v>
      </c>
      <c r="K60" s="69">
        <f t="shared" si="0"/>
        <v>17.5</v>
      </c>
      <c r="L60" s="24">
        <f t="shared" si="1"/>
        <v>0.33541666666666664</v>
      </c>
      <c r="M60" s="70">
        <f t="shared" si="5"/>
        <v>178.88198757763976</v>
      </c>
      <c r="N60" s="69">
        <f t="shared" si="2"/>
        <v>0.86649305555555556</v>
      </c>
      <c r="O60" s="22">
        <v>1</v>
      </c>
      <c r="P60" s="71">
        <f t="shared" si="3"/>
        <v>8.0104166666666643</v>
      </c>
      <c r="Q60" s="71"/>
      <c r="R60" s="22"/>
      <c r="S60" s="22"/>
      <c r="T60" s="22"/>
      <c r="U60" s="72">
        <f t="shared" si="4"/>
        <v>178.88198757763976</v>
      </c>
      <c r="V60" s="99"/>
      <c r="AI60" s="5"/>
    </row>
    <row r="61" spans="1:35" ht="34.5" customHeight="1" x14ac:dyDescent="0.75">
      <c r="A61" s="76">
        <v>40</v>
      </c>
      <c r="B61" s="20" t="s">
        <v>181</v>
      </c>
      <c r="C61" s="21" t="s">
        <v>41</v>
      </c>
      <c r="D61" s="21" t="s">
        <v>182</v>
      </c>
      <c r="E61" s="22">
        <v>58270</v>
      </c>
      <c r="F61" s="21">
        <v>42</v>
      </c>
      <c r="G61" s="21">
        <v>39</v>
      </c>
      <c r="H61" s="21">
        <v>43</v>
      </c>
      <c r="I61" s="21">
        <v>40</v>
      </c>
      <c r="J61" s="21">
        <v>41</v>
      </c>
      <c r="K61" s="69">
        <f t="shared" si="0"/>
        <v>40.75</v>
      </c>
      <c r="L61" s="24">
        <f t="shared" si="1"/>
        <v>0.78104166666666663</v>
      </c>
      <c r="M61" s="70">
        <f t="shared" si="5"/>
        <v>76.820485462790074</v>
      </c>
      <c r="N61" s="69">
        <f t="shared" si="2"/>
        <v>2.0176909722222223</v>
      </c>
      <c r="O61" s="22">
        <v>1</v>
      </c>
      <c r="P61" s="71">
        <f t="shared" si="3"/>
        <v>-61.061458333333334</v>
      </c>
      <c r="Q61" s="71"/>
      <c r="R61" s="22"/>
      <c r="S61" s="22"/>
      <c r="T61" s="22"/>
      <c r="U61" s="100">
        <f>+M61+M62</f>
        <v>154.11517145312826</v>
      </c>
      <c r="V61" s="99"/>
      <c r="AI61" s="5"/>
    </row>
    <row r="62" spans="1:35" ht="34.5" customHeight="1" x14ac:dyDescent="0.75">
      <c r="A62" s="78"/>
      <c r="B62" s="20" t="s">
        <v>181</v>
      </c>
      <c r="C62" s="21" t="s">
        <v>41</v>
      </c>
      <c r="D62" s="21" t="s">
        <v>81</v>
      </c>
      <c r="E62" s="22">
        <v>29858</v>
      </c>
      <c r="F62" s="21">
        <v>40</v>
      </c>
      <c r="G62" s="21">
        <v>42</v>
      </c>
      <c r="H62" s="21">
        <v>38</v>
      </c>
      <c r="I62" s="21">
        <v>43</v>
      </c>
      <c r="J62" s="21">
        <v>39</v>
      </c>
      <c r="K62" s="69">
        <f t="shared" si="0"/>
        <v>40.5</v>
      </c>
      <c r="L62" s="24">
        <f t="shared" si="1"/>
        <v>0.77625</v>
      </c>
      <c r="M62" s="70">
        <f t="shared" si="5"/>
        <v>77.294685990338166</v>
      </c>
      <c r="N62" s="69">
        <f t="shared" si="2"/>
        <v>2.0053125000000001</v>
      </c>
      <c r="O62" s="22">
        <v>1</v>
      </c>
      <c r="P62" s="71">
        <f t="shared" si="3"/>
        <v>-60.318750000000009</v>
      </c>
      <c r="Q62" s="71"/>
      <c r="R62" s="22"/>
      <c r="S62" s="22"/>
      <c r="T62" s="22"/>
      <c r="U62" s="101"/>
      <c r="V62" s="99"/>
      <c r="AI62" s="5"/>
    </row>
    <row r="63" spans="1:35" ht="34.5" customHeight="1" x14ac:dyDescent="0.75">
      <c r="A63" s="19" t="s">
        <v>196</v>
      </c>
      <c r="B63" s="20" t="s">
        <v>195</v>
      </c>
      <c r="C63" s="21" t="s">
        <v>45</v>
      </c>
      <c r="D63" s="21" t="s">
        <v>82</v>
      </c>
      <c r="E63" s="22">
        <v>60115</v>
      </c>
      <c r="F63" s="21">
        <v>11</v>
      </c>
      <c r="G63" s="21">
        <v>13</v>
      </c>
      <c r="H63" s="21">
        <v>12</v>
      </c>
      <c r="I63" s="21">
        <v>10</v>
      </c>
      <c r="J63" s="21">
        <v>10</v>
      </c>
      <c r="K63" s="69">
        <f t="shared" ref="K63" si="6">IFERROR(AVERAGE(G63:J63),"")</f>
        <v>11.25</v>
      </c>
      <c r="L63" s="24">
        <f t="shared" ref="L63" si="7">IFERROR((K63/60)*1.15,"")</f>
        <v>0.21562499999999998</v>
      </c>
      <c r="M63" s="70">
        <f>IFERROR(30/L63,"")</f>
        <v>139.13043478260872</v>
      </c>
      <c r="N63" s="69">
        <f t="shared" ref="N63" si="8">IFERROR($L$5/M63,"")</f>
        <v>1.1140624999999997</v>
      </c>
      <c r="O63" s="22">
        <v>1</v>
      </c>
      <c r="P63" s="71">
        <f t="shared" ref="P63" si="9">IFERROR(60-(N63*60),"")</f>
        <v>-6.8437499999999858</v>
      </c>
      <c r="Q63" s="71"/>
      <c r="R63" s="22"/>
      <c r="S63" s="22"/>
      <c r="T63" s="22"/>
      <c r="U63" s="72">
        <f t="shared" ref="U63" si="10">M63</f>
        <v>139.13043478260872</v>
      </c>
      <c r="V63" s="99"/>
      <c r="AI63" s="5"/>
    </row>
    <row r="64" spans="1:35" ht="34.5" customHeight="1" x14ac:dyDescent="0.75">
      <c r="A64" s="19" t="s">
        <v>197</v>
      </c>
      <c r="B64" s="20" t="s">
        <v>194</v>
      </c>
      <c r="C64" s="21" t="s">
        <v>45</v>
      </c>
      <c r="D64" s="21" t="s">
        <v>82</v>
      </c>
      <c r="E64" s="22">
        <v>60115</v>
      </c>
      <c r="F64" s="21">
        <v>10</v>
      </c>
      <c r="G64" s="21">
        <v>12</v>
      </c>
      <c r="H64" s="21">
        <v>11</v>
      </c>
      <c r="I64" s="21">
        <v>12</v>
      </c>
      <c r="J64" s="21">
        <v>11</v>
      </c>
      <c r="K64" s="69">
        <f t="shared" si="0"/>
        <v>11.5</v>
      </c>
      <c r="L64" s="24">
        <f t="shared" si="1"/>
        <v>0.22041666666666668</v>
      </c>
      <c r="M64" s="70">
        <f>IFERROR(30/L64,"")</f>
        <v>136.10586011342156</v>
      </c>
      <c r="N64" s="69">
        <f t="shared" si="2"/>
        <v>1.1388194444444444</v>
      </c>
      <c r="O64" s="22">
        <v>1</v>
      </c>
      <c r="P64" s="71">
        <f t="shared" si="3"/>
        <v>-8.3291666666666657</v>
      </c>
      <c r="Q64" s="71"/>
      <c r="R64" s="22"/>
      <c r="S64" s="22"/>
      <c r="T64" s="22"/>
      <c r="U64" s="72">
        <f t="shared" si="4"/>
        <v>136.10586011342156</v>
      </c>
      <c r="V64" s="99"/>
      <c r="AI64" s="5"/>
    </row>
    <row r="65" spans="1:35" ht="34.5" customHeight="1" x14ac:dyDescent="0.75">
      <c r="A65" s="19">
        <v>42</v>
      </c>
      <c r="B65" s="20" t="s">
        <v>183</v>
      </c>
      <c r="C65" s="21" t="s">
        <v>45</v>
      </c>
      <c r="D65" s="21" t="s">
        <v>83</v>
      </c>
      <c r="E65" s="22">
        <v>78230</v>
      </c>
      <c r="F65" s="22">
        <v>22</v>
      </c>
      <c r="G65" s="27">
        <v>20</v>
      </c>
      <c r="H65" s="27">
        <v>23</v>
      </c>
      <c r="I65" s="27">
        <v>19</v>
      </c>
      <c r="J65" s="27">
        <v>22</v>
      </c>
      <c r="K65" s="69">
        <f t="shared" si="0"/>
        <v>21</v>
      </c>
      <c r="L65" s="24">
        <f t="shared" si="1"/>
        <v>0.40249999999999997</v>
      </c>
      <c r="M65" s="70">
        <f t="shared" si="5"/>
        <v>149.06832298136646</v>
      </c>
      <c r="N65" s="69">
        <f t="shared" si="2"/>
        <v>1.0397916666666667</v>
      </c>
      <c r="O65" s="22">
        <v>1</v>
      </c>
      <c r="P65" s="71">
        <f t="shared" si="3"/>
        <v>-2.3875000000000028</v>
      </c>
      <c r="Q65" s="71"/>
      <c r="R65" s="22"/>
      <c r="S65" s="22"/>
      <c r="T65" s="22"/>
      <c r="U65" s="72">
        <f t="shared" si="4"/>
        <v>149.06832298136646</v>
      </c>
      <c r="V65" s="99"/>
      <c r="AI65" s="5"/>
    </row>
    <row r="66" spans="1:35" ht="34.5" customHeight="1" x14ac:dyDescent="0.75">
      <c r="A66" s="19">
        <v>43</v>
      </c>
      <c r="B66" s="28" t="s">
        <v>184</v>
      </c>
      <c r="C66" s="21" t="s">
        <v>185</v>
      </c>
      <c r="D66" s="21" t="s">
        <v>84</v>
      </c>
      <c r="E66" s="22">
        <v>152946</v>
      </c>
      <c r="F66" s="22">
        <v>19</v>
      </c>
      <c r="G66" s="27">
        <v>21</v>
      </c>
      <c r="H66" s="27">
        <v>20</v>
      </c>
      <c r="I66" s="27">
        <v>18</v>
      </c>
      <c r="J66" s="27">
        <v>20</v>
      </c>
      <c r="K66" s="69">
        <f t="shared" si="0"/>
        <v>19.75</v>
      </c>
      <c r="L66" s="24">
        <f t="shared" si="1"/>
        <v>0.37854166666666661</v>
      </c>
      <c r="M66" s="70">
        <f t="shared" si="5"/>
        <v>158.50302696752891</v>
      </c>
      <c r="N66" s="69">
        <f t="shared" si="2"/>
        <v>0.97789930555555549</v>
      </c>
      <c r="O66" s="22">
        <v>1</v>
      </c>
      <c r="P66" s="71">
        <f t="shared" si="3"/>
        <v>1.3260416666666686</v>
      </c>
      <c r="Q66" s="71"/>
      <c r="R66" s="22"/>
      <c r="S66" s="22"/>
      <c r="T66" s="22"/>
      <c r="U66" s="72">
        <f t="shared" si="4"/>
        <v>158.50302696752891</v>
      </c>
      <c r="V66" s="99"/>
      <c r="AI66" s="5"/>
    </row>
    <row r="67" spans="1:35" ht="34.5" customHeight="1" x14ac:dyDescent="0.75">
      <c r="A67" s="19">
        <v>44</v>
      </c>
      <c r="B67" s="28" t="s">
        <v>50</v>
      </c>
      <c r="C67" s="21" t="s">
        <v>125</v>
      </c>
      <c r="D67" s="21" t="s">
        <v>90</v>
      </c>
      <c r="E67" s="22">
        <v>29499</v>
      </c>
      <c r="F67" s="22">
        <v>17</v>
      </c>
      <c r="G67" s="27">
        <v>18</v>
      </c>
      <c r="H67" s="27">
        <v>15</v>
      </c>
      <c r="I67" s="27">
        <v>16</v>
      </c>
      <c r="J67" s="27">
        <v>17</v>
      </c>
      <c r="K67" s="23">
        <f t="shared" si="0"/>
        <v>16.5</v>
      </c>
      <c r="L67" s="24">
        <f t="shared" si="1"/>
        <v>0.31624999999999998</v>
      </c>
      <c r="M67" s="70">
        <f t="shared" si="5"/>
        <v>189.72332015810278</v>
      </c>
      <c r="N67" s="69">
        <f t="shared" si="2"/>
        <v>0.81697916666666659</v>
      </c>
      <c r="O67" s="22">
        <v>1</v>
      </c>
      <c r="P67" s="71">
        <f t="shared" si="3"/>
        <v>10.981250000000003</v>
      </c>
      <c r="Q67" s="71"/>
      <c r="R67" s="26"/>
      <c r="S67" s="26"/>
      <c r="T67" s="26"/>
      <c r="U67" s="72">
        <f t="shared" si="4"/>
        <v>189.72332015810278</v>
      </c>
      <c r="V67" s="99"/>
      <c r="AI67" s="5"/>
    </row>
    <row r="68" spans="1:35" ht="34.5" customHeight="1" x14ac:dyDescent="0.75">
      <c r="A68" s="19">
        <v>45</v>
      </c>
      <c r="B68" s="28" t="s">
        <v>186</v>
      </c>
      <c r="C68" s="21" t="s">
        <v>39</v>
      </c>
      <c r="D68" s="21" t="s">
        <v>187</v>
      </c>
      <c r="E68" s="22">
        <v>145346</v>
      </c>
      <c r="F68" s="22">
        <v>13</v>
      </c>
      <c r="G68" s="27">
        <v>15</v>
      </c>
      <c r="H68" s="27">
        <v>14</v>
      </c>
      <c r="I68" s="27">
        <v>16</v>
      </c>
      <c r="J68" s="27">
        <v>15</v>
      </c>
      <c r="K68" s="23">
        <f t="shared" ref="K68" si="11">IFERROR(AVERAGE(G68:J68),"")</f>
        <v>15</v>
      </c>
      <c r="L68" s="24">
        <f t="shared" ref="L68" si="12">IFERROR((K68/60)*1.15,"")</f>
        <v>0.28749999999999998</v>
      </c>
      <c r="M68" s="70">
        <f t="shared" si="5"/>
        <v>208.69565217391306</v>
      </c>
      <c r="N68" s="69">
        <f t="shared" ref="N68" si="13">IFERROR($L$5/M68,"")</f>
        <v>0.7427083333333333</v>
      </c>
      <c r="O68" s="22">
        <v>1</v>
      </c>
      <c r="P68" s="71">
        <f t="shared" ref="P68" si="14">IFERROR(60-(N68*60),"")</f>
        <v>15.4375</v>
      </c>
      <c r="Q68" s="71"/>
      <c r="R68" s="26"/>
      <c r="S68" s="26"/>
      <c r="T68" s="26"/>
      <c r="U68" s="72">
        <f t="shared" si="4"/>
        <v>208.69565217391306</v>
      </c>
      <c r="V68" s="99"/>
      <c r="AI68" s="5"/>
    </row>
    <row r="69" spans="1:35" ht="34.5" customHeight="1" x14ac:dyDescent="0.75">
      <c r="A69" s="19">
        <v>46</v>
      </c>
      <c r="B69" s="28" t="s">
        <v>188</v>
      </c>
      <c r="C69" s="21" t="s">
        <v>114</v>
      </c>
      <c r="D69" s="21" t="s">
        <v>189</v>
      </c>
      <c r="E69" s="22">
        <v>15469</v>
      </c>
      <c r="F69" s="22">
        <v>11</v>
      </c>
      <c r="G69" s="27">
        <v>12</v>
      </c>
      <c r="H69" s="27">
        <v>13</v>
      </c>
      <c r="I69" s="27">
        <v>12</v>
      </c>
      <c r="J69" s="27">
        <v>12</v>
      </c>
      <c r="K69" s="23">
        <f t="shared" si="0"/>
        <v>12.25</v>
      </c>
      <c r="L69" s="24">
        <f t="shared" si="1"/>
        <v>0.23479166666666665</v>
      </c>
      <c r="M69" s="70">
        <f>IFERROR(30/L69,"")</f>
        <v>127.7728482697427</v>
      </c>
      <c r="N69" s="69">
        <f t="shared" si="2"/>
        <v>1.2130902777777777</v>
      </c>
      <c r="O69" s="22">
        <v>0.5</v>
      </c>
      <c r="P69" s="71">
        <f t="shared" si="3"/>
        <v>-12.785416666666663</v>
      </c>
      <c r="Q69" s="71"/>
      <c r="R69" s="26"/>
      <c r="S69" s="26"/>
      <c r="T69" s="26"/>
      <c r="U69" s="29">
        <f t="shared" si="4"/>
        <v>127.7728482697427</v>
      </c>
      <c r="V69" s="99"/>
      <c r="AI69" s="5"/>
    </row>
    <row r="70" spans="1:35" s="7" customFormat="1" ht="34.5" customHeight="1" thickBot="1" x14ac:dyDescent="0.9">
      <c r="A70" s="30"/>
      <c r="B70" s="61" t="s">
        <v>12</v>
      </c>
      <c r="C70" s="31"/>
      <c r="D70" s="31"/>
      <c r="E70" s="31"/>
      <c r="F70" s="31"/>
      <c r="G70" s="31"/>
      <c r="H70" s="31"/>
      <c r="I70" s="31"/>
      <c r="J70" s="31"/>
      <c r="K70" s="32">
        <f>SUM(K10:K69)</f>
        <v>1320</v>
      </c>
      <c r="L70" s="32">
        <f>IFERROR((K70/60)*1.15,"")</f>
        <v>25.299999999999997</v>
      </c>
      <c r="M70" s="33">
        <v>184</v>
      </c>
      <c r="N70" s="34">
        <f>SUM(N10:N69)</f>
        <v>68.205381944444454</v>
      </c>
      <c r="O70" s="34">
        <f>SUM(O10:O69)</f>
        <v>57.5</v>
      </c>
      <c r="P70" s="31"/>
      <c r="Q70" s="31"/>
      <c r="R70" s="31"/>
      <c r="S70" s="31"/>
      <c r="T70" s="31"/>
      <c r="U70" s="31"/>
    </row>
    <row r="71" spans="1:35" s="7" customFormat="1" ht="34.5" customHeight="1" thickBot="1" x14ac:dyDescent="0.9">
      <c r="A71" s="79" t="s">
        <v>38</v>
      </c>
      <c r="B71" s="80"/>
      <c r="C71" s="80"/>
      <c r="D71" s="80"/>
      <c r="E71" s="80"/>
      <c r="F71" s="80"/>
      <c r="G71" s="80"/>
      <c r="H71" s="80"/>
      <c r="I71" s="80"/>
      <c r="J71" s="80"/>
      <c r="K71" s="80"/>
      <c r="L71" s="80"/>
      <c r="M71" s="80"/>
      <c r="N71" s="80"/>
      <c r="O71" s="80"/>
      <c r="P71" s="80"/>
      <c r="Q71" s="80"/>
      <c r="R71" s="80"/>
      <c r="S71" s="80"/>
      <c r="T71" s="80"/>
      <c r="U71" s="80"/>
    </row>
    <row r="72" spans="1:35" s="7" customFormat="1" ht="49.5" customHeight="1" x14ac:dyDescent="0.75">
      <c r="A72" s="35"/>
      <c r="B72" s="36" t="s">
        <v>32</v>
      </c>
      <c r="C72" s="37" t="s">
        <v>27</v>
      </c>
      <c r="D72" s="37" t="s">
        <v>28</v>
      </c>
      <c r="E72" s="37" t="s">
        <v>29</v>
      </c>
      <c r="F72" s="38" t="s">
        <v>30</v>
      </c>
      <c r="G72" s="81" t="s">
        <v>192</v>
      </c>
      <c r="H72" s="82"/>
      <c r="I72" s="82"/>
      <c r="J72" s="82"/>
      <c r="K72" s="82"/>
      <c r="L72" s="82"/>
      <c r="M72" s="39" t="s">
        <v>27</v>
      </c>
      <c r="N72" s="40" t="s">
        <v>28</v>
      </c>
      <c r="O72" s="40" t="s">
        <v>29</v>
      </c>
      <c r="P72" s="37" t="s">
        <v>30</v>
      </c>
      <c r="Q72" s="37" t="s">
        <v>54</v>
      </c>
      <c r="R72" s="38" t="s">
        <v>31</v>
      </c>
      <c r="S72" s="35"/>
      <c r="T72" s="35"/>
      <c r="U72" s="35"/>
    </row>
    <row r="73" spans="1:35" s="7" customFormat="1" ht="49.5" customHeight="1" x14ac:dyDescent="0.75">
      <c r="A73" s="35"/>
      <c r="B73" s="41"/>
      <c r="C73" s="42">
        <v>41</v>
      </c>
      <c r="D73" s="42">
        <v>8</v>
      </c>
      <c r="E73" s="42">
        <v>1</v>
      </c>
      <c r="F73" s="43">
        <f>E73+D73+C73</f>
        <v>50</v>
      </c>
      <c r="G73" s="83"/>
      <c r="H73" s="84"/>
      <c r="I73" s="84"/>
      <c r="J73" s="84"/>
      <c r="K73" s="84"/>
      <c r="L73" s="84"/>
      <c r="M73" s="44">
        <v>45</v>
      </c>
      <c r="N73" s="45">
        <v>12</v>
      </c>
      <c r="O73" s="45">
        <v>1</v>
      </c>
      <c r="P73" s="45">
        <f>M73+N73+O73+Q73</f>
        <v>62</v>
      </c>
      <c r="Q73" s="45">
        <v>4</v>
      </c>
      <c r="R73" s="46">
        <f>P73-F73</f>
        <v>12</v>
      </c>
      <c r="S73" s="35"/>
      <c r="T73" s="35"/>
      <c r="U73" s="35"/>
    </row>
    <row r="74" spans="1:35" s="7" customFormat="1" ht="49.5" customHeight="1" thickBot="1" x14ac:dyDescent="0.9">
      <c r="A74" s="35"/>
      <c r="B74" s="62" t="s">
        <v>33</v>
      </c>
      <c r="C74" s="85">
        <f>L5</f>
        <v>155</v>
      </c>
      <c r="D74" s="86"/>
      <c r="E74" s="86"/>
      <c r="F74" s="87"/>
      <c r="G74" s="88" t="s">
        <v>193</v>
      </c>
      <c r="H74" s="89"/>
      <c r="I74" s="89"/>
      <c r="J74" s="89"/>
      <c r="K74" s="89"/>
      <c r="L74" s="89"/>
      <c r="M74" s="90">
        <f>L6</f>
        <v>150</v>
      </c>
      <c r="N74" s="91"/>
      <c r="O74" s="91"/>
      <c r="P74" s="92"/>
      <c r="Q74" s="47"/>
      <c r="R74" s="48"/>
      <c r="S74" s="35"/>
      <c r="T74" s="35"/>
      <c r="U74" s="35"/>
    </row>
    <row r="75" spans="1:35" s="7" customFormat="1" ht="49.5" customHeight="1" x14ac:dyDescent="0.75">
      <c r="A75" s="35"/>
      <c r="B75" s="35"/>
      <c r="C75" s="35"/>
      <c r="D75" s="35"/>
      <c r="E75" s="35"/>
      <c r="F75" s="35"/>
      <c r="G75" s="35"/>
      <c r="H75" s="35"/>
      <c r="I75" s="35"/>
      <c r="J75" s="35"/>
      <c r="K75" s="35"/>
      <c r="L75" s="49"/>
      <c r="M75" s="50"/>
      <c r="N75" s="50"/>
      <c r="O75" s="50"/>
      <c r="P75" s="50"/>
      <c r="Q75" s="50"/>
      <c r="R75" s="50"/>
      <c r="S75" s="35"/>
      <c r="T75" s="35"/>
      <c r="U75" s="35"/>
    </row>
    <row r="76" spans="1:35" s="7" customFormat="1" ht="34.5" customHeight="1" x14ac:dyDescent="0.75">
      <c r="A76" s="35"/>
      <c r="B76" s="35"/>
      <c r="C76" s="35"/>
      <c r="D76" s="35"/>
      <c r="E76" s="35"/>
      <c r="F76" s="35"/>
      <c r="G76" s="35"/>
      <c r="H76" s="35"/>
      <c r="I76" s="35"/>
      <c r="J76" s="35"/>
      <c r="K76" s="35"/>
      <c r="L76" s="49"/>
      <c r="M76" s="35"/>
      <c r="N76" s="35"/>
      <c r="O76" s="35"/>
      <c r="P76" s="35"/>
      <c r="Q76" s="35"/>
      <c r="R76" s="35"/>
      <c r="S76" s="35"/>
      <c r="T76" s="35"/>
      <c r="U76" s="35"/>
    </row>
    <row r="77" spans="1:35" s="6" customFormat="1" ht="44.25" customHeight="1" x14ac:dyDescent="0.75">
      <c r="A77" s="35"/>
      <c r="B77" s="35"/>
      <c r="C77" s="35"/>
      <c r="D77" s="35"/>
      <c r="E77" s="35"/>
      <c r="F77" s="35"/>
      <c r="G77" s="35"/>
      <c r="H77" s="35"/>
      <c r="I77" s="35"/>
      <c r="J77" s="35"/>
      <c r="K77" s="51"/>
      <c r="L77" s="52"/>
      <c r="M77" s="50"/>
      <c r="N77" s="53"/>
      <c r="O77" s="53"/>
      <c r="P77" s="35"/>
      <c r="Q77" s="35"/>
      <c r="R77" s="35"/>
      <c r="S77" s="35"/>
      <c r="T77" s="35"/>
      <c r="U77" s="35"/>
    </row>
    <row r="78" spans="1:35" s="6" customFormat="1" ht="44.25" customHeight="1" x14ac:dyDescent="0.75">
      <c r="A78" s="35"/>
      <c r="B78" s="35"/>
      <c r="C78" s="35"/>
      <c r="D78" s="35"/>
      <c r="E78" s="35"/>
      <c r="F78" s="35"/>
      <c r="G78" s="35"/>
      <c r="H78" s="35"/>
      <c r="I78" s="35"/>
      <c r="J78" s="35"/>
      <c r="K78" s="51"/>
      <c r="L78" s="52"/>
      <c r="M78" s="50"/>
      <c r="N78" s="53"/>
      <c r="O78" s="53"/>
      <c r="P78" s="35"/>
      <c r="Q78" s="35"/>
      <c r="R78" s="35"/>
      <c r="S78" s="35"/>
      <c r="T78" s="35"/>
      <c r="U78" s="35"/>
    </row>
    <row r="79" spans="1:35" s="6" customFormat="1" ht="44.25" customHeight="1" x14ac:dyDescent="0.75">
      <c r="A79" s="54"/>
      <c r="B79" s="54"/>
      <c r="C79" s="54"/>
      <c r="D79" s="54"/>
      <c r="E79" s="54"/>
      <c r="F79" s="54"/>
      <c r="G79" s="54"/>
      <c r="H79" s="54"/>
      <c r="I79" s="54"/>
      <c r="J79" s="54"/>
      <c r="K79" s="54"/>
      <c r="L79" s="54"/>
      <c r="M79" s="54"/>
      <c r="N79" s="54"/>
      <c r="O79" s="54"/>
      <c r="P79" s="54"/>
      <c r="Q79" s="54"/>
      <c r="R79" s="54"/>
      <c r="S79" s="54"/>
      <c r="T79" s="54"/>
      <c r="U79" s="54"/>
    </row>
    <row r="80" spans="1:35" s="6" customFormat="1" ht="44.25" customHeight="1" x14ac:dyDescent="0.75">
      <c r="A80" s="54"/>
      <c r="B80" s="54"/>
      <c r="C80" s="54"/>
      <c r="D80" s="54"/>
      <c r="E80" s="54"/>
      <c r="F80" s="54"/>
      <c r="G80" s="54"/>
      <c r="H80" s="54"/>
      <c r="I80" s="54"/>
      <c r="J80" s="54"/>
      <c r="K80" s="54"/>
      <c r="L80" s="54"/>
      <c r="M80" s="54"/>
      <c r="N80" s="54"/>
      <c r="O80" s="54"/>
      <c r="P80" s="54"/>
      <c r="Q80" s="54"/>
      <c r="R80" s="54"/>
      <c r="S80" s="54"/>
      <c r="T80" s="54"/>
      <c r="U80" s="54"/>
    </row>
    <row r="81" spans="1:21" s="6" customFormat="1" ht="44.25" customHeight="1" x14ac:dyDescent="0.75">
      <c r="A81" s="54"/>
      <c r="B81" s="54"/>
      <c r="C81" s="54"/>
      <c r="D81" s="54"/>
      <c r="E81" s="54"/>
      <c r="F81" s="54"/>
      <c r="G81" s="54"/>
      <c r="H81" s="54"/>
      <c r="I81" s="54"/>
      <c r="J81" s="54"/>
      <c r="K81" s="54"/>
      <c r="L81" s="54"/>
      <c r="M81" s="54"/>
      <c r="N81" s="54"/>
      <c r="O81" s="54"/>
      <c r="P81" s="54"/>
      <c r="Q81" s="54"/>
      <c r="R81" s="54"/>
      <c r="S81" s="54"/>
      <c r="T81" s="54"/>
      <c r="U81" s="54"/>
    </row>
    <row r="82" spans="1:21" s="6" customFormat="1" ht="44.25" customHeight="1" x14ac:dyDescent="0.75">
      <c r="A82" s="54"/>
      <c r="B82" s="54"/>
      <c r="C82" s="54"/>
      <c r="D82" s="54"/>
      <c r="E82" s="54"/>
      <c r="F82" s="54"/>
      <c r="G82" s="54"/>
      <c r="H82" s="54"/>
      <c r="I82" s="54"/>
      <c r="J82" s="54"/>
      <c r="K82" s="54"/>
      <c r="L82" s="54"/>
      <c r="M82" s="54"/>
      <c r="N82" s="54"/>
      <c r="O82" s="54"/>
      <c r="P82" s="54"/>
      <c r="Q82" s="54"/>
      <c r="R82" s="54"/>
      <c r="S82" s="54"/>
      <c r="T82" s="54"/>
      <c r="U82" s="54"/>
    </row>
    <row r="83" spans="1:21" s="6" customFormat="1" ht="44.25" customHeight="1" x14ac:dyDescent="0.75">
      <c r="A83" s="54"/>
      <c r="B83" s="54"/>
      <c r="C83" s="54"/>
      <c r="D83" s="54"/>
      <c r="E83" s="54"/>
      <c r="F83" s="54"/>
      <c r="G83" s="54"/>
      <c r="H83" s="54"/>
      <c r="I83" s="54"/>
      <c r="J83" s="54"/>
      <c r="K83" s="54"/>
      <c r="L83" s="54"/>
      <c r="M83" s="54"/>
      <c r="N83" s="54"/>
      <c r="O83" s="54"/>
      <c r="P83" s="54"/>
      <c r="Q83" s="54"/>
      <c r="R83" s="54"/>
      <c r="S83" s="54"/>
      <c r="T83" s="54"/>
      <c r="U83" s="54"/>
    </row>
    <row r="84" spans="1:21" s="6" customFormat="1" ht="44.25" customHeight="1" x14ac:dyDescent="0.75">
      <c r="A84" s="54"/>
      <c r="B84" s="54"/>
      <c r="C84" s="54"/>
      <c r="D84" s="54"/>
      <c r="E84" s="54"/>
      <c r="F84" s="54"/>
      <c r="G84" s="54"/>
      <c r="H84" s="54"/>
      <c r="I84" s="54"/>
      <c r="J84" s="54"/>
      <c r="K84" s="54"/>
      <c r="L84" s="54"/>
      <c r="M84" s="54"/>
      <c r="N84" s="54"/>
      <c r="O84" s="54"/>
      <c r="P84" s="54"/>
      <c r="Q84" s="54"/>
      <c r="R84" s="54"/>
      <c r="S84" s="54"/>
      <c r="T84" s="54"/>
      <c r="U84" s="54"/>
    </row>
    <row r="85" spans="1:21" s="6" customFormat="1" ht="44.25" customHeight="1" x14ac:dyDescent="0.75">
      <c r="A85" s="54"/>
      <c r="B85" s="54"/>
      <c r="C85" s="54"/>
      <c r="D85" s="54"/>
      <c r="E85" s="54"/>
      <c r="F85" s="54"/>
      <c r="G85" s="54"/>
      <c r="H85" s="54"/>
      <c r="I85" s="54"/>
      <c r="J85" s="54"/>
      <c r="K85" s="54"/>
      <c r="L85" s="54"/>
      <c r="M85" s="54"/>
      <c r="N85" s="54"/>
      <c r="O85" s="54"/>
      <c r="P85" s="54"/>
      <c r="Q85" s="54"/>
      <c r="R85" s="54"/>
      <c r="S85" s="54"/>
      <c r="T85" s="54"/>
      <c r="U85" s="54"/>
    </row>
    <row r="86" spans="1:21" s="1" customFormat="1" ht="44.25" customHeight="1" x14ac:dyDescent="0.75">
      <c r="A86" s="54"/>
      <c r="B86" s="54"/>
      <c r="C86" s="54"/>
      <c r="D86" s="54"/>
      <c r="E86" s="54"/>
      <c r="F86" s="54"/>
      <c r="G86" s="54"/>
      <c r="H86" s="54"/>
      <c r="I86" s="54"/>
      <c r="J86" s="54"/>
      <c r="K86" s="54"/>
      <c r="L86" s="54"/>
      <c r="M86" s="54"/>
      <c r="N86" s="54"/>
      <c r="O86" s="54"/>
      <c r="P86" s="54"/>
      <c r="Q86" s="54"/>
      <c r="R86" s="54"/>
      <c r="S86" s="54"/>
      <c r="T86" s="54"/>
      <c r="U86" s="54"/>
    </row>
    <row r="87" spans="1:21" s="1" customFormat="1" ht="34.5" customHeight="1" x14ac:dyDescent="0.75">
      <c r="A87" s="54"/>
      <c r="B87" s="54"/>
      <c r="C87" s="54"/>
      <c r="D87" s="54"/>
      <c r="E87" s="54"/>
      <c r="F87" s="54"/>
      <c r="G87" s="54"/>
      <c r="H87" s="54"/>
      <c r="I87" s="54"/>
      <c r="J87" s="54"/>
      <c r="K87" s="54"/>
      <c r="L87" s="54"/>
      <c r="M87" s="54"/>
      <c r="N87" s="54"/>
      <c r="O87" s="54"/>
      <c r="P87" s="54"/>
      <c r="Q87" s="54"/>
      <c r="R87" s="54"/>
      <c r="S87" s="54"/>
      <c r="T87" s="54"/>
      <c r="U87" s="54"/>
    </row>
    <row r="88" spans="1:21" s="1" customFormat="1" x14ac:dyDescent="0.75">
      <c r="A88" s="55"/>
      <c r="B88" s="55"/>
      <c r="C88" s="55"/>
      <c r="D88" s="55"/>
      <c r="E88" s="55"/>
      <c r="F88" s="55"/>
      <c r="G88" s="55"/>
      <c r="H88" s="55"/>
      <c r="I88" s="55"/>
      <c r="J88" s="55"/>
      <c r="K88" s="55"/>
      <c r="L88" s="54"/>
      <c r="M88" s="55"/>
      <c r="N88" s="55"/>
      <c r="O88" s="55"/>
      <c r="P88" s="55"/>
      <c r="Q88" s="55"/>
      <c r="R88" s="55"/>
      <c r="S88" s="55"/>
      <c r="T88" s="55"/>
      <c r="U88" s="55"/>
    </row>
    <row r="89" spans="1:21" s="1" customFormat="1" x14ac:dyDescent="0.75">
      <c r="A89" s="55"/>
      <c r="B89" s="55"/>
      <c r="C89" s="55"/>
      <c r="D89" s="55"/>
      <c r="E89" s="55"/>
      <c r="F89" s="55"/>
      <c r="G89" s="55"/>
      <c r="H89" s="55"/>
      <c r="I89" s="55"/>
      <c r="J89" s="55"/>
      <c r="K89" s="55"/>
      <c r="L89" s="54"/>
      <c r="M89" s="55"/>
      <c r="N89" s="55"/>
      <c r="O89" s="55"/>
      <c r="P89" s="55"/>
      <c r="Q89" s="55"/>
      <c r="R89" s="55"/>
      <c r="S89" s="55"/>
      <c r="T89" s="55"/>
      <c r="U89" s="55"/>
    </row>
    <row r="90" spans="1:21" s="1" customFormat="1" x14ac:dyDescent="0.75">
      <c r="A90" s="55"/>
      <c r="B90" s="55"/>
      <c r="C90" s="55"/>
      <c r="D90" s="55"/>
      <c r="E90" s="55"/>
      <c r="F90" s="55"/>
      <c r="G90" s="55"/>
      <c r="H90" s="55"/>
      <c r="I90" s="55"/>
      <c r="J90" s="55"/>
      <c r="K90" s="55"/>
      <c r="L90" s="54"/>
      <c r="M90" s="55"/>
      <c r="N90" s="55"/>
      <c r="O90" s="55"/>
      <c r="P90" s="55"/>
      <c r="Q90" s="55"/>
      <c r="R90" s="55"/>
      <c r="S90" s="55"/>
      <c r="T90" s="55"/>
      <c r="U90" s="55"/>
    </row>
    <row r="91" spans="1:21" s="1" customFormat="1" x14ac:dyDescent="0.75">
      <c r="A91" s="55"/>
      <c r="B91" s="55"/>
      <c r="C91" s="55"/>
      <c r="D91" s="55"/>
      <c r="E91" s="55"/>
      <c r="F91" s="55"/>
      <c r="G91" s="55"/>
      <c r="H91" s="55"/>
      <c r="I91" s="55"/>
      <c r="J91" s="55"/>
      <c r="K91" s="55"/>
      <c r="L91" s="54"/>
      <c r="M91" s="55"/>
      <c r="N91" s="55"/>
      <c r="O91" s="55"/>
      <c r="P91" s="55"/>
      <c r="Q91" s="55"/>
      <c r="R91" s="55"/>
      <c r="S91" s="55"/>
      <c r="T91" s="55"/>
      <c r="U91" s="55"/>
    </row>
    <row r="92" spans="1:21" s="1" customFormat="1" x14ac:dyDescent="0.75">
      <c r="A92" s="55"/>
      <c r="B92" s="55"/>
      <c r="C92" s="55"/>
      <c r="D92" s="55"/>
      <c r="E92" s="55"/>
      <c r="F92" s="55"/>
      <c r="G92" s="55"/>
      <c r="H92" s="55"/>
      <c r="I92" s="55"/>
      <c r="J92" s="55"/>
      <c r="K92" s="55"/>
      <c r="L92" s="54"/>
      <c r="M92" s="55"/>
      <c r="N92" s="55"/>
      <c r="O92" s="55"/>
      <c r="P92" s="55"/>
      <c r="Q92" s="55"/>
      <c r="R92" s="55"/>
      <c r="S92" s="55"/>
      <c r="T92" s="55"/>
      <c r="U92" s="55"/>
    </row>
    <row r="93" spans="1:21" s="1" customFormat="1" x14ac:dyDescent="0.75">
      <c r="A93" s="55"/>
      <c r="B93" s="55"/>
      <c r="C93" s="55"/>
      <c r="D93" s="55"/>
      <c r="E93" s="55"/>
      <c r="F93" s="55"/>
      <c r="G93" s="55"/>
      <c r="H93" s="55"/>
      <c r="I93" s="55"/>
      <c r="J93" s="55"/>
      <c r="K93" s="55"/>
      <c r="L93" s="54"/>
      <c r="M93" s="55"/>
      <c r="N93" s="55"/>
      <c r="O93" s="55"/>
      <c r="P93" s="55"/>
      <c r="Q93" s="55"/>
      <c r="R93" s="55"/>
      <c r="S93" s="55"/>
      <c r="T93" s="55"/>
      <c r="U93" s="55"/>
    </row>
    <row r="94" spans="1:21" s="1" customFormat="1" x14ac:dyDescent="0.75">
      <c r="A94" s="55"/>
      <c r="B94" s="55"/>
      <c r="C94" s="55"/>
      <c r="D94" s="55"/>
      <c r="E94" s="55"/>
      <c r="F94" s="55"/>
      <c r="G94" s="55"/>
      <c r="H94" s="55"/>
      <c r="I94" s="55"/>
      <c r="J94" s="55"/>
      <c r="K94" s="55"/>
      <c r="L94" s="54"/>
      <c r="M94" s="55"/>
      <c r="N94" s="55"/>
      <c r="O94" s="55"/>
      <c r="P94" s="55"/>
      <c r="Q94" s="55"/>
      <c r="R94" s="55"/>
      <c r="S94" s="55"/>
      <c r="T94" s="55"/>
      <c r="U94" s="55"/>
    </row>
    <row r="95" spans="1:21" s="1" customFormat="1" x14ac:dyDescent="0.75">
      <c r="A95" s="55"/>
      <c r="B95" s="55"/>
      <c r="C95" s="55"/>
      <c r="D95" s="55"/>
      <c r="E95" s="55"/>
      <c r="F95" s="55"/>
      <c r="G95" s="55"/>
      <c r="H95" s="55"/>
      <c r="I95" s="55"/>
      <c r="J95" s="55"/>
      <c r="K95" s="55"/>
      <c r="L95" s="54"/>
      <c r="M95" s="55"/>
      <c r="N95" s="55"/>
      <c r="O95" s="55"/>
      <c r="P95" s="55"/>
      <c r="Q95" s="55"/>
      <c r="R95" s="55"/>
      <c r="S95" s="55"/>
      <c r="T95" s="55"/>
      <c r="U95" s="55"/>
    </row>
    <row r="96" spans="1:21" s="1" customFormat="1" x14ac:dyDescent="0.75">
      <c r="A96" s="55"/>
      <c r="B96" s="55"/>
      <c r="C96" s="55"/>
      <c r="D96" s="55"/>
      <c r="E96" s="55"/>
      <c r="F96" s="55"/>
      <c r="G96" s="55"/>
      <c r="H96" s="55"/>
      <c r="I96" s="55"/>
      <c r="J96" s="55"/>
      <c r="K96" s="55"/>
      <c r="L96" s="54"/>
      <c r="M96" s="55"/>
      <c r="N96" s="55"/>
      <c r="O96" s="55"/>
      <c r="P96" s="55"/>
      <c r="Q96" s="55"/>
      <c r="R96" s="55"/>
      <c r="S96" s="55"/>
      <c r="T96" s="55"/>
      <c r="U96" s="55"/>
    </row>
    <row r="97" spans="1:35" s="1" customFormat="1" x14ac:dyDescent="0.75">
      <c r="A97" s="55"/>
      <c r="B97" s="55"/>
      <c r="C97" s="55"/>
      <c r="D97" s="55"/>
      <c r="E97" s="55"/>
      <c r="F97" s="55"/>
      <c r="G97" s="55"/>
      <c r="H97" s="55"/>
      <c r="I97" s="55"/>
      <c r="J97" s="55"/>
      <c r="K97" s="55"/>
      <c r="L97" s="54"/>
      <c r="M97" s="55"/>
      <c r="N97" s="55"/>
      <c r="O97" s="55"/>
      <c r="P97" s="55"/>
      <c r="Q97" s="55"/>
      <c r="R97" s="55"/>
      <c r="S97" s="55"/>
      <c r="T97" s="55"/>
      <c r="U97" s="55"/>
    </row>
    <row r="98" spans="1:35" s="1" customFormat="1" x14ac:dyDescent="0.75">
      <c r="A98" s="55"/>
      <c r="B98" s="55"/>
      <c r="C98" s="55"/>
      <c r="D98" s="55"/>
      <c r="E98" s="55"/>
      <c r="F98" s="55"/>
      <c r="G98" s="55"/>
      <c r="H98" s="55"/>
      <c r="I98" s="55"/>
      <c r="J98" s="55"/>
      <c r="K98" s="55"/>
      <c r="L98" s="54"/>
      <c r="M98" s="55"/>
      <c r="N98" s="55"/>
      <c r="O98" s="55"/>
      <c r="P98" s="55"/>
      <c r="Q98" s="55"/>
      <c r="R98" s="55"/>
      <c r="S98" s="55"/>
      <c r="T98" s="55"/>
      <c r="U98" s="55"/>
    </row>
    <row r="99" spans="1:35" s="1" customFormat="1" x14ac:dyDescent="0.75">
      <c r="A99" s="55"/>
      <c r="B99" s="55"/>
      <c r="C99" s="55"/>
      <c r="D99" s="55"/>
      <c r="E99" s="55"/>
      <c r="F99" s="55"/>
      <c r="G99" s="55"/>
      <c r="H99" s="55"/>
      <c r="I99" s="55"/>
      <c r="J99" s="55"/>
      <c r="K99" s="55"/>
      <c r="L99" s="54"/>
      <c r="M99" s="55"/>
      <c r="N99" s="55"/>
      <c r="O99" s="55"/>
      <c r="P99" s="55"/>
      <c r="Q99" s="55"/>
      <c r="R99" s="55"/>
      <c r="S99" s="55"/>
      <c r="T99" s="55"/>
      <c r="U99" s="55"/>
    </row>
    <row r="100" spans="1:35" s="1" customFormat="1" x14ac:dyDescent="0.75">
      <c r="A100" s="55"/>
      <c r="B100" s="55"/>
      <c r="C100" s="55"/>
      <c r="D100" s="55"/>
      <c r="E100" s="55"/>
      <c r="F100" s="55"/>
      <c r="G100" s="55"/>
      <c r="H100" s="55"/>
      <c r="I100" s="55"/>
      <c r="J100" s="55"/>
      <c r="K100" s="55"/>
      <c r="L100" s="54"/>
      <c r="M100" s="55"/>
      <c r="N100" s="55"/>
      <c r="O100" s="55"/>
      <c r="P100" s="55"/>
      <c r="Q100" s="55"/>
      <c r="R100" s="55"/>
      <c r="S100" s="55"/>
      <c r="T100" s="55"/>
      <c r="U100" s="55"/>
    </row>
    <row r="101" spans="1:35" s="1" customFormat="1" x14ac:dyDescent="0.75">
      <c r="A101" s="55"/>
      <c r="B101" s="55"/>
      <c r="C101" s="55"/>
      <c r="D101" s="55"/>
      <c r="E101" s="55"/>
      <c r="F101" s="55"/>
      <c r="G101" s="55"/>
      <c r="H101" s="55"/>
      <c r="I101" s="55"/>
      <c r="J101" s="55"/>
      <c r="K101" s="55"/>
      <c r="L101" s="54"/>
      <c r="M101" s="55"/>
      <c r="N101" s="55"/>
      <c r="O101" s="55"/>
      <c r="P101" s="55"/>
      <c r="Q101" s="55"/>
      <c r="R101" s="55"/>
      <c r="S101" s="55"/>
      <c r="T101" s="55"/>
      <c r="U101" s="55"/>
    </row>
    <row r="102" spans="1:35" s="9" customFormat="1" ht="36" customHeight="1" x14ac:dyDescent="0.75">
      <c r="A102" s="55"/>
      <c r="B102" s="55"/>
      <c r="C102" s="55"/>
      <c r="D102" s="55"/>
      <c r="E102" s="55"/>
      <c r="F102" s="55"/>
      <c r="G102" s="55"/>
      <c r="H102" s="55"/>
      <c r="I102" s="55"/>
      <c r="J102" s="55"/>
      <c r="K102" s="55"/>
      <c r="L102" s="54"/>
      <c r="M102" s="55"/>
      <c r="N102" s="55"/>
      <c r="O102" s="55"/>
      <c r="P102" s="55"/>
      <c r="Q102" s="55"/>
      <c r="R102" s="55"/>
      <c r="S102" s="55"/>
      <c r="T102" s="55"/>
      <c r="U102" s="55"/>
    </row>
    <row r="103" spans="1:35" s="1" customFormat="1" x14ac:dyDescent="0.75">
      <c r="A103" s="55"/>
      <c r="B103" s="55"/>
      <c r="C103" s="55"/>
      <c r="D103" s="55"/>
      <c r="E103" s="55"/>
      <c r="F103" s="55"/>
      <c r="G103" s="55"/>
      <c r="H103" s="55"/>
      <c r="I103" s="55"/>
      <c r="J103" s="55"/>
      <c r="K103" s="55"/>
      <c r="L103" s="54"/>
      <c r="M103" s="55"/>
      <c r="N103" s="55"/>
      <c r="O103" s="55"/>
      <c r="P103" s="55"/>
      <c r="Q103" s="55"/>
      <c r="R103" s="55"/>
      <c r="S103" s="55"/>
      <c r="T103" s="55"/>
      <c r="U103" s="55"/>
    </row>
    <row r="104" spans="1:35" s="1" customFormat="1" ht="18" customHeight="1" x14ac:dyDescent="0.75">
      <c r="A104" s="93"/>
      <c r="B104" s="93"/>
      <c r="C104" s="93"/>
      <c r="D104" s="93"/>
      <c r="E104" s="93"/>
      <c r="F104" s="93"/>
      <c r="G104" s="56"/>
      <c r="H104" s="56"/>
      <c r="I104" s="56"/>
      <c r="J104" s="13"/>
      <c r="K104" s="13"/>
      <c r="L104" s="57"/>
      <c r="M104" s="13"/>
      <c r="N104" s="58"/>
      <c r="O104" s="13"/>
      <c r="P104" s="13"/>
      <c r="Q104" s="93"/>
      <c r="R104" s="93"/>
      <c r="S104" s="93"/>
      <c r="T104" s="93"/>
      <c r="U104" s="93"/>
    </row>
    <row r="105" spans="1:35" s="1" customFormat="1" x14ac:dyDescent="0.75">
      <c r="A105" s="55"/>
      <c r="B105" s="55"/>
      <c r="C105" s="55"/>
      <c r="D105" s="55"/>
      <c r="E105" s="55"/>
      <c r="F105" s="55"/>
      <c r="G105" s="55"/>
      <c r="H105" s="55"/>
      <c r="I105" s="55"/>
      <c r="J105" s="55"/>
      <c r="K105" s="55"/>
      <c r="L105" s="54"/>
      <c r="M105" s="55"/>
      <c r="N105" s="55"/>
      <c r="O105" s="55"/>
      <c r="P105" s="55"/>
      <c r="Q105" s="55"/>
      <c r="R105" s="55"/>
      <c r="S105" s="55"/>
      <c r="T105" s="55"/>
      <c r="U105" s="55"/>
    </row>
    <row r="108" spans="1:35" ht="18.75" customHeight="1" x14ac:dyDescent="0.75"/>
    <row r="110" spans="1:35" ht="36.75" customHeight="1" x14ac:dyDescent="0.75">
      <c r="A110" s="59" t="str">
        <f t="shared" ref="A110:B118" si="15">A10</f>
        <v>1A</v>
      </c>
      <c r="B110" s="60" t="str">
        <f t="shared" si="15"/>
        <v xml:space="preserve">COIN PKT IRON </v>
      </c>
      <c r="G110" s="25">
        <f t="shared" ref="G110:G118" si="16">U10</f>
        <v>130.43478260869566</v>
      </c>
    </row>
    <row r="111" spans="1:35" s="54" customFormat="1" x14ac:dyDescent="0.75">
      <c r="A111" s="59" t="str">
        <f t="shared" si="15"/>
        <v>1B</v>
      </c>
      <c r="B111" s="60" t="str">
        <f t="shared" si="15"/>
        <v>D/FLY IRON</v>
      </c>
      <c r="G111" s="25">
        <f t="shared" si="16"/>
        <v>149.06832298136646</v>
      </c>
      <c r="V111" s="8"/>
      <c r="W111" s="8"/>
      <c r="X111" s="8"/>
      <c r="Y111" s="8"/>
      <c r="Z111" s="8"/>
      <c r="AA111" s="8"/>
      <c r="AB111" s="8"/>
      <c r="AC111" s="8"/>
      <c r="AD111" s="8"/>
      <c r="AE111" s="8"/>
      <c r="AF111" s="8"/>
      <c r="AG111" s="8"/>
      <c r="AH111" s="8"/>
      <c r="AI111" s="8"/>
    </row>
    <row r="112" spans="1:35" s="54" customFormat="1" ht="18.75" customHeight="1" x14ac:dyDescent="0.75">
      <c r="A112" s="59">
        <f t="shared" si="15"/>
        <v>2</v>
      </c>
      <c r="B112" s="60" t="str">
        <f t="shared" si="15"/>
        <v>SCOPE PKT FACING MARK</v>
      </c>
      <c r="G112" s="25">
        <f t="shared" si="16"/>
        <v>250.43478260869568</v>
      </c>
      <c r="V112" s="8"/>
      <c r="W112" s="8"/>
      <c r="X112" s="8"/>
      <c r="Y112" s="8"/>
      <c r="Z112" s="8"/>
      <c r="AA112" s="8"/>
      <c r="AB112" s="8"/>
      <c r="AC112" s="8"/>
      <c r="AD112" s="8"/>
      <c r="AE112" s="8"/>
      <c r="AF112" s="8"/>
      <c r="AG112" s="8"/>
      <c r="AH112" s="8"/>
      <c r="AI112" s="8"/>
    </row>
    <row r="113" spans="1:35" s="54" customFormat="1" ht="36.5" x14ac:dyDescent="0.75">
      <c r="A113" s="59">
        <f t="shared" si="15"/>
        <v>3</v>
      </c>
      <c r="B113" s="60" t="str">
        <f t="shared" si="15"/>
        <v>SCOPE PKT BAG FACING ATTACH</v>
      </c>
      <c r="G113" s="25">
        <f t="shared" si="16"/>
        <v>198.75776397515529</v>
      </c>
      <c r="V113" s="8"/>
      <c r="W113" s="8"/>
      <c r="X113" s="8"/>
      <c r="Y113" s="8"/>
      <c r="Z113" s="8"/>
      <c r="AA113" s="8"/>
      <c r="AB113" s="8"/>
      <c r="AC113" s="8"/>
      <c r="AD113" s="8"/>
      <c r="AE113" s="8"/>
      <c r="AF113" s="8"/>
      <c r="AG113" s="8"/>
      <c r="AH113" s="8"/>
      <c r="AI113" s="8"/>
    </row>
    <row r="114" spans="1:35" s="54" customFormat="1" ht="36.5" x14ac:dyDescent="0.75">
      <c r="A114" s="59">
        <f t="shared" si="15"/>
        <v>4</v>
      </c>
      <c r="B114" s="60" t="str">
        <f t="shared" si="15"/>
        <v>COIN PKT ATTACH TO FACING (ANGULAR)</v>
      </c>
      <c r="G114" s="25">
        <f t="shared" si="16"/>
        <v>195.6521739130435</v>
      </c>
      <c r="V114" s="8"/>
      <c r="W114" s="8"/>
      <c r="X114" s="8"/>
      <c r="Y114" s="8"/>
      <c r="Z114" s="8"/>
      <c r="AA114" s="8"/>
      <c r="AB114" s="8"/>
      <c r="AC114" s="8"/>
      <c r="AD114" s="8"/>
      <c r="AE114" s="8"/>
      <c r="AF114" s="8"/>
      <c r="AG114" s="8"/>
      <c r="AH114" s="8"/>
      <c r="AI114" s="8"/>
    </row>
    <row r="115" spans="1:35" s="54" customFormat="1" x14ac:dyDescent="0.75">
      <c r="A115" s="59">
        <f t="shared" si="15"/>
        <v>5</v>
      </c>
      <c r="B115" s="60" t="str">
        <f t="shared" si="15"/>
        <v>SCOPE PKT BAG OVERLOCK</v>
      </c>
      <c r="G115" s="25">
        <f t="shared" si="16"/>
        <v>219.67963386727692</v>
      </c>
      <c r="V115" s="8"/>
      <c r="W115" s="8"/>
      <c r="X115" s="8"/>
      <c r="Y115" s="8"/>
      <c r="Z115" s="8"/>
      <c r="AA115" s="8"/>
      <c r="AB115" s="8"/>
      <c r="AC115" s="8"/>
      <c r="AD115" s="8"/>
      <c r="AE115" s="8"/>
      <c r="AF115" s="8"/>
      <c r="AG115" s="8"/>
      <c r="AH115" s="8"/>
      <c r="AI115" s="8"/>
    </row>
    <row r="116" spans="1:35" s="54" customFormat="1" ht="54.75" x14ac:dyDescent="0.75">
      <c r="A116" s="59">
        <f t="shared" si="15"/>
        <v>6</v>
      </c>
      <c r="B116" s="60" t="str">
        <f t="shared" si="15"/>
        <v>CARE LBL, LINE, SIZE, SHADE &amp; COUNTRY LBL CUT &amp; INSERT INTO POLY</v>
      </c>
      <c r="G116" s="25">
        <f t="shared" si="16"/>
        <v>215.8920539730135</v>
      </c>
      <c r="V116" s="8"/>
      <c r="W116" s="8"/>
      <c r="X116" s="8"/>
      <c r="Y116" s="8"/>
      <c r="Z116" s="8"/>
      <c r="AA116" s="8"/>
      <c r="AB116" s="8"/>
      <c r="AC116" s="8"/>
      <c r="AD116" s="8"/>
      <c r="AE116" s="8"/>
      <c r="AF116" s="8"/>
      <c r="AG116" s="8"/>
      <c r="AH116" s="8"/>
      <c r="AI116" s="8"/>
    </row>
    <row r="117" spans="1:35" s="54" customFormat="1" ht="15.75" customHeight="1" x14ac:dyDescent="0.75">
      <c r="A117" s="59">
        <f t="shared" si="15"/>
        <v>7</v>
      </c>
      <c r="B117" s="60" t="str">
        <f t="shared" si="15"/>
        <v>LINE,SIZE,SHADE &amp; COUNTRY LBL ATT TO BODY (PEAR TACK)</v>
      </c>
      <c r="G117" s="25">
        <f t="shared" si="16"/>
        <v>205.27441197434072</v>
      </c>
      <c r="V117" s="8"/>
      <c r="W117" s="8"/>
      <c r="X117" s="8"/>
      <c r="Y117" s="8"/>
      <c r="Z117" s="8"/>
      <c r="AA117" s="8"/>
      <c r="AB117" s="8"/>
      <c r="AC117" s="8"/>
      <c r="AD117" s="8"/>
      <c r="AE117" s="8"/>
      <c r="AF117" s="8"/>
      <c r="AG117" s="8"/>
      <c r="AH117" s="8"/>
      <c r="AI117" s="8"/>
    </row>
    <row r="118" spans="1:35" s="54" customFormat="1" x14ac:dyDescent="0.75">
      <c r="A118" s="59">
        <f t="shared" si="15"/>
        <v>8</v>
      </c>
      <c r="B118" s="60" t="str">
        <f t="shared" si="15"/>
        <v xml:space="preserve">SCOPE PKT MOUTH JOIN </v>
      </c>
      <c r="G118" s="25">
        <f t="shared" si="16"/>
        <v>245.31312325488634</v>
      </c>
      <c r="V118" s="8"/>
      <c r="W118" s="8"/>
      <c r="X118" s="8"/>
      <c r="Y118" s="8"/>
      <c r="Z118" s="8"/>
      <c r="AA118" s="8"/>
      <c r="AB118" s="8"/>
      <c r="AC118" s="8"/>
      <c r="AD118" s="8"/>
      <c r="AE118" s="8"/>
      <c r="AF118" s="8"/>
      <c r="AG118" s="8"/>
      <c r="AH118" s="8"/>
      <c r="AI118" s="8"/>
    </row>
    <row r="119" spans="1:35" s="54" customFormat="1" ht="36.5" x14ac:dyDescent="0.75">
      <c r="A119" s="59">
        <f>A20</f>
        <v>9</v>
      </c>
      <c r="B119" s="60" t="str">
        <f>B20</f>
        <v>SCOPE PKT MOUTH TURN &amp; TOP STC</v>
      </c>
      <c r="G119" s="25">
        <f>U20</f>
        <v>236.28025773495096</v>
      </c>
      <c r="V119" s="8"/>
      <c r="W119" s="8"/>
      <c r="X119" s="8"/>
      <c r="Y119" s="8"/>
      <c r="Z119" s="8"/>
      <c r="AA119" s="8"/>
      <c r="AB119" s="8"/>
      <c r="AC119" s="8"/>
      <c r="AD119" s="8"/>
      <c r="AE119" s="8"/>
      <c r="AF119" s="8"/>
      <c r="AG119" s="8"/>
      <c r="AH119" s="8"/>
      <c r="AI119" s="8"/>
    </row>
    <row r="120" spans="1:35" s="54" customFormat="1" ht="36.5" x14ac:dyDescent="0.75">
      <c r="A120" s="59">
        <f>A22</f>
        <v>10</v>
      </c>
      <c r="B120" s="60" t="str">
        <f>B22</f>
        <v>SCOPE PKT SIDE &amp; WAIST TACK</v>
      </c>
      <c r="G120" s="25">
        <f>U22</f>
        <v>211.5218940779076</v>
      </c>
      <c r="V120" s="8"/>
      <c r="W120" s="8"/>
      <c r="X120" s="8"/>
      <c r="Y120" s="8"/>
      <c r="Z120" s="8"/>
      <c r="AA120" s="8"/>
      <c r="AB120" s="8"/>
      <c r="AC120" s="8"/>
      <c r="AD120" s="8"/>
      <c r="AE120" s="8"/>
      <c r="AF120" s="8"/>
      <c r="AG120" s="8"/>
      <c r="AH120" s="8"/>
      <c r="AI120" s="8"/>
    </row>
    <row r="121" spans="1:35" s="54" customFormat="1" x14ac:dyDescent="0.75">
      <c r="A121" s="59">
        <f t="shared" ref="A121:B142" si="17">A24</f>
        <v>11</v>
      </c>
      <c r="B121" s="60" t="str">
        <f t="shared" si="17"/>
        <v xml:space="preserve">S/FLY JOIN </v>
      </c>
      <c r="G121" s="25">
        <f t="shared" ref="G121:G142" si="18">U24</f>
        <v>223.6024844720497</v>
      </c>
      <c r="V121" s="8"/>
      <c r="W121" s="8"/>
      <c r="X121" s="8"/>
      <c r="Y121" s="8"/>
      <c r="Z121" s="8"/>
      <c r="AA121" s="8"/>
      <c r="AB121" s="8"/>
      <c r="AC121" s="8"/>
      <c r="AD121" s="8"/>
      <c r="AE121" s="8"/>
      <c r="AF121" s="8"/>
      <c r="AG121" s="8"/>
      <c r="AH121" s="8"/>
      <c r="AI121" s="8"/>
    </row>
    <row r="122" spans="1:35" s="54" customFormat="1" ht="36.5" x14ac:dyDescent="0.75">
      <c r="A122" s="59">
        <f t="shared" si="17"/>
        <v>12</v>
      </c>
      <c r="B122" s="60" t="str">
        <f t="shared" si="17"/>
        <v>S/FLY TOP STC WITH FRONT RISE FOLD</v>
      </c>
      <c r="G122" s="25">
        <f t="shared" si="18"/>
        <v>212.23286661753872</v>
      </c>
      <c r="V122" s="8"/>
      <c r="W122" s="8"/>
      <c r="X122" s="8"/>
      <c r="Y122" s="8"/>
      <c r="Z122" s="8"/>
      <c r="AA122" s="8"/>
      <c r="AB122" s="8"/>
      <c r="AC122" s="8"/>
      <c r="AD122" s="8"/>
      <c r="AE122" s="8"/>
      <c r="AF122" s="8"/>
      <c r="AG122" s="8"/>
      <c r="AH122" s="8"/>
      <c r="AI122" s="8"/>
    </row>
    <row r="123" spans="1:35" s="54" customFormat="1" ht="36.5" x14ac:dyDescent="0.75">
      <c r="A123" s="59">
        <f t="shared" si="17"/>
        <v>13</v>
      </c>
      <c r="B123" s="60" t="str">
        <f t="shared" si="17"/>
        <v>ZIPPER JOIN WITH S/FLY WITH MARK</v>
      </c>
      <c r="G123" s="25">
        <f t="shared" si="18"/>
        <v>240.80267558528431</v>
      </c>
      <c r="V123" s="8"/>
      <c r="W123" s="8"/>
      <c r="X123" s="8"/>
      <c r="Y123" s="8"/>
      <c r="Z123" s="8"/>
      <c r="AA123" s="8"/>
      <c r="AB123" s="8"/>
      <c r="AC123" s="8"/>
      <c r="AD123" s="8"/>
      <c r="AE123" s="8"/>
      <c r="AF123" s="8"/>
      <c r="AG123" s="8"/>
      <c r="AH123" s="8"/>
      <c r="AI123" s="8"/>
    </row>
    <row r="124" spans="1:35" s="54" customFormat="1" x14ac:dyDescent="0.75">
      <c r="A124" s="59">
        <f t="shared" si="17"/>
        <v>14</v>
      </c>
      <c r="B124" s="60" t="str">
        <f t="shared" si="17"/>
        <v>"J'' STC MAKE WITH MARK</v>
      </c>
      <c r="G124" s="25">
        <f t="shared" si="18"/>
        <v>189.72332015810278</v>
      </c>
      <c r="V124" s="8"/>
      <c r="W124" s="8"/>
      <c r="X124" s="8"/>
      <c r="Y124" s="8"/>
      <c r="Z124" s="8"/>
      <c r="AA124" s="8"/>
      <c r="AB124" s="8"/>
      <c r="AC124" s="8"/>
      <c r="AD124" s="8"/>
      <c r="AE124" s="8"/>
      <c r="AF124" s="8"/>
      <c r="AG124" s="8"/>
      <c r="AH124" s="8"/>
      <c r="AI124" s="8"/>
    </row>
    <row r="125" spans="1:35" s="54" customFormat="1" x14ac:dyDescent="0.75">
      <c r="A125" s="59">
        <f t="shared" si="17"/>
        <v>15</v>
      </c>
      <c r="B125" s="60" t="str">
        <f t="shared" si="17"/>
        <v>D/FLY JOIN</v>
      </c>
      <c r="G125" s="25">
        <f t="shared" si="18"/>
        <v>215.8920539730135</v>
      </c>
      <c r="V125" s="8"/>
      <c r="W125" s="8"/>
      <c r="X125" s="8"/>
      <c r="Y125" s="8"/>
      <c r="Z125" s="8"/>
      <c r="AA125" s="8"/>
      <c r="AB125" s="8"/>
      <c r="AC125" s="8"/>
      <c r="AD125" s="8"/>
      <c r="AE125" s="8"/>
      <c r="AF125" s="8"/>
      <c r="AG125" s="8"/>
      <c r="AH125" s="8"/>
      <c r="AI125" s="8"/>
    </row>
    <row r="126" spans="1:35" s="54" customFormat="1" x14ac:dyDescent="0.75">
      <c r="A126" s="59">
        <f t="shared" si="17"/>
        <v>16</v>
      </c>
      <c r="B126" s="60" t="str">
        <f t="shared" si="17"/>
        <v>FRONT PART JOIN</v>
      </c>
      <c r="G126" s="25">
        <f t="shared" si="18"/>
        <v>178.88198757763976</v>
      </c>
      <c r="V126" s="8"/>
      <c r="W126" s="8"/>
      <c r="X126" s="8"/>
      <c r="Y126" s="8"/>
      <c r="Z126" s="8"/>
      <c r="AA126" s="8"/>
      <c r="AB126" s="8"/>
      <c r="AC126" s="8"/>
      <c r="AD126" s="8"/>
      <c r="AE126" s="8"/>
      <c r="AF126" s="8"/>
      <c r="AG126" s="8"/>
      <c r="AH126" s="8"/>
      <c r="AI126" s="8"/>
    </row>
    <row r="127" spans="1:35" s="54" customFormat="1" ht="36.5" x14ac:dyDescent="0.75">
      <c r="A127" s="59">
        <f t="shared" si="17"/>
        <v>17</v>
      </c>
      <c r="B127" s="60" t="str">
        <f t="shared" si="17"/>
        <v>D/FLY OL WITH FRONT PART &amp; CUT</v>
      </c>
      <c r="G127" s="25">
        <f t="shared" si="18"/>
        <v>255.54569653948539</v>
      </c>
      <c r="V127" s="8"/>
      <c r="W127" s="8"/>
      <c r="X127" s="8"/>
      <c r="Y127" s="8"/>
      <c r="Z127" s="8"/>
      <c r="AA127" s="8"/>
      <c r="AB127" s="8"/>
      <c r="AC127" s="8"/>
      <c r="AD127" s="8"/>
      <c r="AE127" s="8"/>
      <c r="AF127" s="8"/>
      <c r="AG127" s="8"/>
      <c r="AH127" s="8"/>
      <c r="AI127" s="8"/>
    </row>
    <row r="128" spans="1:35" s="54" customFormat="1" x14ac:dyDescent="0.75">
      <c r="A128" s="59">
        <f t="shared" si="17"/>
        <v>18</v>
      </c>
      <c r="B128" s="60" t="str">
        <f t="shared" si="17"/>
        <v>D/FLY SEFTY TACK</v>
      </c>
      <c r="G128" s="25">
        <f t="shared" si="18"/>
        <v>266.4199814986124</v>
      </c>
      <c r="V128" s="8"/>
      <c r="W128" s="8"/>
      <c r="X128" s="8"/>
      <c r="Y128" s="8"/>
      <c r="Z128" s="8"/>
      <c r="AA128" s="8"/>
      <c r="AB128" s="8"/>
      <c r="AC128" s="8"/>
      <c r="AD128" s="8"/>
      <c r="AE128" s="8"/>
      <c r="AF128" s="8"/>
      <c r="AG128" s="8"/>
      <c r="AH128" s="8"/>
      <c r="AI128" s="8"/>
    </row>
    <row r="129" spans="1:35" s="54" customFormat="1" x14ac:dyDescent="0.75">
      <c r="A129" s="59">
        <f t="shared" si="17"/>
        <v>19</v>
      </c>
      <c r="B129" s="60" t="str">
        <f t="shared" si="17"/>
        <v>D/FLY CLOSE STC</v>
      </c>
      <c r="G129" s="25">
        <f t="shared" si="18"/>
        <v>205.27441197434072</v>
      </c>
      <c r="V129" s="8"/>
      <c r="W129" s="8"/>
      <c r="X129" s="8"/>
      <c r="Y129" s="8"/>
      <c r="Z129" s="8"/>
      <c r="AA129" s="8"/>
      <c r="AB129" s="8"/>
      <c r="AC129" s="8"/>
      <c r="AD129" s="8"/>
      <c r="AE129" s="8"/>
      <c r="AF129" s="8"/>
      <c r="AG129" s="8"/>
      <c r="AH129" s="8"/>
      <c r="AI129" s="8"/>
    </row>
    <row r="130" spans="1:35" s="54" customFormat="1" x14ac:dyDescent="0.75">
      <c r="A130" s="59">
        <f t="shared" si="17"/>
        <v>20</v>
      </c>
      <c r="B130" s="60" t="str">
        <f t="shared" si="17"/>
        <v>FRONT RISE TOP STC</v>
      </c>
      <c r="G130" s="25">
        <f t="shared" si="18"/>
        <v>195.6521739130435</v>
      </c>
      <c r="V130" s="8"/>
      <c r="W130" s="8"/>
      <c r="X130" s="8"/>
      <c r="Y130" s="8"/>
      <c r="Z130" s="8"/>
      <c r="AA130" s="8"/>
      <c r="AB130" s="8"/>
      <c r="AC130" s="8"/>
      <c r="AD130" s="8"/>
      <c r="AE130" s="8"/>
      <c r="AF130" s="8"/>
      <c r="AG130" s="8"/>
      <c r="AH130" s="8"/>
      <c r="AI130" s="8"/>
    </row>
    <row r="131" spans="1:35" s="54" customFormat="1" x14ac:dyDescent="0.75">
      <c r="A131" s="59">
        <f t="shared" si="17"/>
        <v>21</v>
      </c>
      <c r="B131" s="60" t="str">
        <f t="shared" si="17"/>
        <v>CARE LBL ATT AT WAIST</v>
      </c>
      <c r="G131" s="25">
        <f t="shared" si="18"/>
        <v>192.64214046822747</v>
      </c>
      <c r="V131" s="8"/>
      <c r="W131" s="8"/>
      <c r="X131" s="8"/>
      <c r="Y131" s="8"/>
      <c r="Z131" s="8"/>
      <c r="AA131" s="8"/>
      <c r="AB131" s="8"/>
      <c r="AC131" s="8"/>
      <c r="AD131" s="8"/>
      <c r="AE131" s="8"/>
      <c r="AF131" s="8"/>
      <c r="AG131" s="8"/>
      <c r="AH131" s="8"/>
      <c r="AI131" s="8"/>
    </row>
    <row r="132" spans="1:35" s="54" customFormat="1" ht="25.5" customHeight="1" x14ac:dyDescent="0.75">
      <c r="A132" s="59">
        <f t="shared" si="17"/>
        <v>22</v>
      </c>
      <c r="B132" s="60" t="str">
        <f t="shared" si="17"/>
        <v xml:space="preserve">S/FLY OL, MARK &amp; CUT </v>
      </c>
      <c r="G132" s="25">
        <f t="shared" si="18"/>
        <v>208.69565217391306</v>
      </c>
      <c r="V132" s="8"/>
      <c r="W132" s="8"/>
      <c r="X132" s="8"/>
      <c r="Y132" s="8"/>
      <c r="Z132" s="8"/>
      <c r="AA132" s="8"/>
      <c r="AB132" s="8"/>
      <c r="AC132" s="8"/>
      <c r="AD132" s="8"/>
      <c r="AE132" s="8"/>
      <c r="AF132" s="8"/>
      <c r="AG132" s="8"/>
      <c r="AH132" s="8"/>
      <c r="AI132" s="8"/>
    </row>
    <row r="133" spans="1:35" s="54" customFormat="1" x14ac:dyDescent="0.75">
      <c r="A133" s="59">
        <f t="shared" si="17"/>
        <v>23</v>
      </c>
      <c r="B133" s="60" t="str">
        <f t="shared" si="17"/>
        <v>BACK YOKE JOIN BY FOLDER</v>
      </c>
      <c r="G133" s="25">
        <f t="shared" si="18"/>
        <v>250.43478260869568</v>
      </c>
      <c r="V133" s="8"/>
      <c r="W133" s="8"/>
      <c r="X133" s="8"/>
      <c r="Y133" s="8"/>
      <c r="Z133" s="8"/>
      <c r="AA133" s="8"/>
      <c r="AB133" s="8"/>
      <c r="AC133" s="8"/>
      <c r="AD133" s="8"/>
      <c r="AE133" s="8"/>
      <c r="AF133" s="8"/>
      <c r="AG133" s="8"/>
      <c r="AH133" s="8"/>
      <c r="AI133" s="8"/>
    </row>
    <row r="134" spans="1:35" s="54" customFormat="1" x14ac:dyDescent="0.75">
      <c r="A134" s="59" t="str">
        <f t="shared" si="17"/>
        <v>23H</v>
      </c>
      <c r="B134" s="60" t="str">
        <f t="shared" si="17"/>
        <v>BACK YOKE  CUT</v>
      </c>
      <c r="G134" s="25">
        <f t="shared" si="18"/>
        <v>272.21172022684311</v>
      </c>
      <c r="V134" s="8"/>
      <c r="W134" s="8"/>
      <c r="X134" s="8"/>
      <c r="Y134" s="8"/>
      <c r="Z134" s="8"/>
      <c r="AA134" s="8"/>
      <c r="AB134" s="8"/>
      <c r="AC134" s="8"/>
      <c r="AD134" s="8"/>
      <c r="AE134" s="8"/>
      <c r="AF134" s="8"/>
      <c r="AG134" s="8"/>
      <c r="AH134" s="8"/>
      <c r="AI134" s="8"/>
    </row>
    <row r="135" spans="1:35" s="54" customFormat="1" x14ac:dyDescent="0.75">
      <c r="A135" s="59">
        <f t="shared" si="17"/>
        <v>24</v>
      </c>
      <c r="B135" s="60" t="str">
        <f t="shared" si="17"/>
        <v>BACK RISE JOIN BY FOLDER</v>
      </c>
      <c r="G135" s="25">
        <f t="shared" si="18"/>
        <v>245.52429667519183</v>
      </c>
      <c r="V135" s="8"/>
      <c r="W135" s="8"/>
      <c r="X135" s="8"/>
      <c r="Y135" s="8"/>
      <c r="Z135" s="8"/>
      <c r="AA135" s="8"/>
      <c r="AB135" s="8"/>
      <c r="AC135" s="8"/>
      <c r="AD135" s="8"/>
      <c r="AE135" s="8"/>
      <c r="AF135" s="8"/>
      <c r="AG135" s="8"/>
      <c r="AH135" s="8"/>
      <c r="AI135" s="8"/>
    </row>
    <row r="136" spans="1:35" s="54" customFormat="1" x14ac:dyDescent="0.75">
      <c r="A136" s="59" t="str">
        <f t="shared" si="17"/>
        <v>24H</v>
      </c>
      <c r="B136" s="60" t="str">
        <f t="shared" si="17"/>
        <v>BACK RISE CUT</v>
      </c>
      <c r="G136" s="25">
        <f t="shared" si="18"/>
        <v>245.52429667519183</v>
      </c>
      <c r="V136" s="8"/>
      <c r="W136" s="8"/>
      <c r="X136" s="8"/>
      <c r="Y136" s="8"/>
      <c r="Z136" s="8"/>
      <c r="AA136" s="8"/>
      <c r="AB136" s="8"/>
      <c r="AC136" s="8"/>
      <c r="AD136" s="8"/>
      <c r="AE136" s="8"/>
      <c r="AF136" s="8"/>
      <c r="AG136" s="8"/>
      <c r="AH136" s="8"/>
      <c r="AI136" s="8"/>
    </row>
    <row r="137" spans="1:35" s="54" customFormat="1" ht="36.5" x14ac:dyDescent="0.75">
      <c r="A137" s="59">
        <f t="shared" si="17"/>
        <v>25</v>
      </c>
      <c r="B137" s="60" t="str">
        <f t="shared" si="17"/>
        <v xml:space="preserve">BACK YORK &amp; CORD STC PLSMNT MARK </v>
      </c>
      <c r="G137" s="25">
        <f t="shared" si="18"/>
        <v>198.75776397515529</v>
      </c>
      <c r="V137" s="8"/>
      <c r="W137" s="8"/>
      <c r="X137" s="8"/>
      <c r="Y137" s="8"/>
      <c r="Z137" s="8"/>
      <c r="AA137" s="8"/>
      <c r="AB137" s="8"/>
      <c r="AC137" s="8"/>
      <c r="AD137" s="8"/>
      <c r="AE137" s="8"/>
      <c r="AF137" s="8"/>
      <c r="AG137" s="8"/>
      <c r="AH137" s="8"/>
      <c r="AI137" s="8"/>
    </row>
    <row r="138" spans="1:35" s="54" customFormat="1" x14ac:dyDescent="0.75">
      <c r="A138" s="59">
        <f t="shared" si="17"/>
        <v>26</v>
      </c>
      <c r="B138" s="60" t="str">
        <f t="shared" si="17"/>
        <v>WAIST BAND MATCH</v>
      </c>
      <c r="G138" s="25">
        <f t="shared" si="18"/>
        <v>215.8920539730135</v>
      </c>
      <c r="V138" s="8"/>
      <c r="W138" s="8"/>
      <c r="X138" s="8"/>
      <c r="Y138" s="8"/>
      <c r="Z138" s="8"/>
      <c r="AA138" s="8"/>
      <c r="AB138" s="8"/>
      <c r="AC138" s="8"/>
      <c r="AD138" s="8"/>
      <c r="AE138" s="8"/>
      <c r="AF138" s="8"/>
      <c r="AG138" s="8"/>
      <c r="AH138" s="8"/>
      <c r="AI138" s="8"/>
    </row>
    <row r="139" spans="1:35" s="54" customFormat="1" x14ac:dyDescent="0.75">
      <c r="A139" s="59">
        <f t="shared" si="17"/>
        <v>27</v>
      </c>
      <c r="B139" s="60" t="str">
        <f t="shared" si="17"/>
        <v xml:space="preserve">FRONT &amp; BACK PART MATCH </v>
      </c>
      <c r="G139" s="25">
        <f t="shared" si="18"/>
        <v>231.8840579710145</v>
      </c>
      <c r="V139" s="8"/>
      <c r="W139" s="8"/>
      <c r="X139" s="8"/>
      <c r="Y139" s="8"/>
      <c r="Z139" s="8"/>
      <c r="AA139" s="8"/>
      <c r="AB139" s="8"/>
      <c r="AC139" s="8"/>
      <c r="AD139" s="8"/>
      <c r="AE139" s="8"/>
      <c r="AF139" s="8"/>
      <c r="AG139" s="8"/>
      <c r="AH139" s="8"/>
      <c r="AI139" s="8"/>
    </row>
    <row r="140" spans="1:35" s="54" customFormat="1" x14ac:dyDescent="0.75">
      <c r="A140" s="59">
        <f t="shared" si="17"/>
        <v>28</v>
      </c>
      <c r="B140" s="60" t="str">
        <f t="shared" si="17"/>
        <v>INSEAM JOIN BY FOLDER</v>
      </c>
      <c r="G140" s="25">
        <f t="shared" si="18"/>
        <v>169.2126909518214</v>
      </c>
      <c r="V140" s="8"/>
      <c r="W140" s="8"/>
      <c r="X140" s="8"/>
      <c r="Y140" s="8"/>
      <c r="Z140" s="8"/>
      <c r="AA140" s="8"/>
      <c r="AB140" s="8"/>
      <c r="AC140" s="8"/>
      <c r="AD140" s="8"/>
      <c r="AE140" s="8"/>
      <c r="AF140" s="8"/>
      <c r="AG140" s="8"/>
      <c r="AH140" s="8"/>
      <c r="AI140" s="8"/>
    </row>
    <row r="141" spans="1:35" s="54" customFormat="1" x14ac:dyDescent="0.75">
      <c r="A141" s="59" t="str">
        <f t="shared" si="17"/>
        <v>28H</v>
      </c>
      <c r="B141" s="60" t="str">
        <f t="shared" si="17"/>
        <v>IN SEAM BODY ARRANGE</v>
      </c>
      <c r="G141" s="25">
        <f t="shared" si="18"/>
        <v>169.2126909518214</v>
      </c>
      <c r="V141" s="8"/>
      <c r="W141" s="8"/>
      <c r="X141" s="8"/>
      <c r="Y141" s="8"/>
      <c r="Z141" s="8"/>
      <c r="AA141" s="8"/>
      <c r="AB141" s="8"/>
      <c r="AC141" s="8"/>
      <c r="AD141" s="8"/>
      <c r="AE141" s="8"/>
      <c r="AF141" s="8"/>
      <c r="AG141" s="8"/>
      <c r="AH141" s="8"/>
      <c r="AI141" s="8"/>
    </row>
    <row r="142" spans="1:35" s="54" customFormat="1" x14ac:dyDescent="0.75">
      <c r="A142" s="59">
        <f t="shared" si="17"/>
        <v>29</v>
      </c>
      <c r="B142" s="60" t="str">
        <f t="shared" si="17"/>
        <v>SIDE SEAM JOIN (LONG)</v>
      </c>
      <c r="G142" s="25">
        <f t="shared" si="18"/>
        <v>182.13679577221865</v>
      </c>
      <c r="V142" s="8"/>
      <c r="W142" s="8"/>
      <c r="X142" s="8"/>
      <c r="Y142" s="8"/>
      <c r="Z142" s="8"/>
      <c r="AA142" s="8"/>
      <c r="AB142" s="8"/>
      <c r="AC142" s="8"/>
      <c r="AD142" s="8"/>
      <c r="AE142" s="8"/>
      <c r="AF142" s="8"/>
      <c r="AG142" s="8"/>
      <c r="AH142" s="8"/>
      <c r="AI142" s="8"/>
    </row>
    <row r="143" spans="1:35" s="54" customFormat="1" ht="36.5" x14ac:dyDescent="0.75">
      <c r="A143" s="59">
        <f>A47</f>
        <v>30</v>
      </c>
      <c r="B143" s="60" t="str">
        <f>B47</f>
        <v>FRONT PKT END INSIDE BTK ( 2 ) WITH MARK</v>
      </c>
      <c r="G143" s="25">
        <f>U47</f>
        <v>198.75776397515529</v>
      </c>
      <c r="V143" s="8"/>
      <c r="W143" s="8"/>
      <c r="X143" s="8"/>
      <c r="Y143" s="8"/>
      <c r="Z143" s="8"/>
      <c r="AA143" s="8"/>
      <c r="AB143" s="8"/>
      <c r="AC143" s="8"/>
      <c r="AD143" s="8"/>
      <c r="AE143" s="8"/>
      <c r="AF143" s="8"/>
      <c r="AG143" s="8"/>
      <c r="AH143" s="8"/>
      <c r="AI143" s="8"/>
    </row>
    <row r="144" spans="1:35" s="54" customFormat="1" x14ac:dyDescent="0.75">
      <c r="A144" s="59">
        <f>A48</f>
        <v>31</v>
      </c>
      <c r="B144" s="60" t="str">
        <f>B48</f>
        <v>SIDE CORD STC</v>
      </c>
      <c r="G144" s="25">
        <f>U48</f>
        <v>235.57060897214353</v>
      </c>
      <c r="V144" s="8"/>
      <c r="W144" s="8"/>
      <c r="X144" s="8"/>
      <c r="Y144" s="8"/>
      <c r="Z144" s="8"/>
      <c r="AA144" s="8"/>
      <c r="AB144" s="8"/>
      <c r="AC144" s="8"/>
      <c r="AD144" s="8"/>
      <c r="AE144" s="8"/>
      <c r="AF144" s="8"/>
      <c r="AG144" s="8"/>
      <c r="AH144" s="8"/>
      <c r="AI144" s="8"/>
    </row>
    <row r="145" spans="1:35" s="54" customFormat="1" x14ac:dyDescent="0.75">
      <c r="A145" s="59">
        <f t="shared" ref="A145:B149" si="19">A50</f>
        <v>32</v>
      </c>
      <c r="B145" s="60" t="str">
        <f t="shared" si="19"/>
        <v>WAIST BAND SHEARING STC</v>
      </c>
      <c r="G145" s="25">
        <f>U50</f>
        <v>215.8920539730135</v>
      </c>
      <c r="V145" s="8"/>
      <c r="W145" s="8"/>
      <c r="X145" s="8"/>
      <c r="Y145" s="8"/>
      <c r="Z145" s="8"/>
      <c r="AA145" s="8"/>
      <c r="AB145" s="8"/>
      <c r="AC145" s="8"/>
      <c r="AD145" s="8"/>
      <c r="AE145" s="8"/>
      <c r="AF145" s="8"/>
      <c r="AG145" s="8"/>
      <c r="AH145" s="8"/>
      <c r="AI145" s="8"/>
    </row>
    <row r="146" spans="1:35" s="54" customFormat="1" x14ac:dyDescent="0.75">
      <c r="A146" s="59">
        <f t="shared" si="19"/>
        <v>33</v>
      </c>
      <c r="B146" s="60" t="str">
        <f t="shared" si="19"/>
        <v>FRONT WAIST MOUTH MARK</v>
      </c>
      <c r="G146" s="25">
        <f>U51</f>
        <v>158.50302696752891</v>
      </c>
      <c r="V146" s="8"/>
      <c r="W146" s="8"/>
      <c r="X146" s="8"/>
      <c r="Y146" s="8"/>
      <c r="Z146" s="8"/>
      <c r="AA146" s="8"/>
      <c r="AB146" s="8"/>
      <c r="AC146" s="8"/>
      <c r="AD146" s="8"/>
      <c r="AE146" s="8"/>
      <c r="AF146" s="8"/>
      <c r="AG146" s="8"/>
      <c r="AH146" s="8"/>
      <c r="AI146" s="8"/>
    </row>
    <row r="147" spans="1:35" s="54" customFormat="1" x14ac:dyDescent="0.75">
      <c r="A147" s="59">
        <f t="shared" si="19"/>
        <v>34</v>
      </c>
      <c r="B147" s="60" t="str">
        <f t="shared" si="19"/>
        <v>BODY TURN</v>
      </c>
      <c r="G147" s="25">
        <f>U52</f>
        <v>212.23286661753872</v>
      </c>
      <c r="V147" s="8"/>
      <c r="W147" s="8"/>
      <c r="X147" s="8"/>
      <c r="Y147" s="8"/>
      <c r="Z147" s="8"/>
      <c r="AA147" s="8"/>
      <c r="AB147" s="8"/>
      <c r="AC147" s="8"/>
      <c r="AD147" s="8"/>
      <c r="AE147" s="8"/>
      <c r="AF147" s="8"/>
      <c r="AG147" s="8"/>
      <c r="AH147" s="8"/>
      <c r="AI147" s="8"/>
    </row>
    <row r="148" spans="1:35" s="54" customFormat="1" x14ac:dyDescent="0.75">
      <c r="A148" s="59">
        <f t="shared" si="19"/>
        <v>35</v>
      </c>
      <c r="B148" s="60" t="str">
        <f t="shared" si="19"/>
        <v>WAIST BAND MARK (1PCS)</v>
      </c>
      <c r="G148" s="25">
        <f>U53</f>
        <v>99.378881987577643</v>
      </c>
      <c r="V148" s="8"/>
      <c r="W148" s="8"/>
      <c r="X148" s="8"/>
      <c r="Y148" s="8"/>
      <c r="Z148" s="8"/>
      <c r="AA148" s="8"/>
      <c r="AB148" s="8"/>
      <c r="AC148" s="8"/>
      <c r="AD148" s="8"/>
      <c r="AE148" s="8"/>
      <c r="AF148" s="8"/>
      <c r="AG148" s="8"/>
      <c r="AH148" s="8"/>
      <c r="AI148" s="8"/>
    </row>
    <row r="149" spans="1:35" s="54" customFormat="1" ht="36.5" x14ac:dyDescent="0.75">
      <c r="A149" s="59">
        <f t="shared" si="19"/>
        <v>36</v>
      </c>
      <c r="B149" s="60" t="str">
        <f t="shared" si="19"/>
        <v>WAIST BELT JOIN WITH 2 MOUTH CLOSE (01 PCS)</v>
      </c>
      <c r="G149" s="25">
        <f>U54</f>
        <v>99.325845506297028</v>
      </c>
      <c r="V149" s="8"/>
      <c r="W149" s="8"/>
      <c r="X149" s="8"/>
      <c r="Y149" s="8"/>
      <c r="Z149" s="8"/>
      <c r="AA149" s="8"/>
      <c r="AB149" s="8"/>
      <c r="AC149" s="8"/>
      <c r="AD149" s="8"/>
      <c r="AE149" s="8"/>
      <c r="AF149" s="8"/>
      <c r="AG149" s="8"/>
      <c r="AH149" s="8"/>
      <c r="AI149" s="8"/>
    </row>
    <row r="150" spans="1:35" ht="36.5" x14ac:dyDescent="0.75">
      <c r="A150" s="59">
        <f t="shared" ref="A150:B152" si="20">A58</f>
        <v>37</v>
      </c>
      <c r="B150" s="60" t="str">
        <f t="shared" si="20"/>
        <v>WAIST BTM MOUTH CLOSE TACK</v>
      </c>
      <c r="G150" s="25">
        <f>U58</f>
        <v>212.23286661753872</v>
      </c>
    </row>
    <row r="151" spans="1:35" ht="36.5" x14ac:dyDescent="0.75">
      <c r="A151" s="59">
        <f t="shared" si="20"/>
        <v>38</v>
      </c>
      <c r="B151" s="60" t="str">
        <f t="shared" si="20"/>
        <v>WAIST TOP MOUTH CLOSE TACK</v>
      </c>
      <c r="G151" s="25">
        <f>U59</f>
        <v>208.69565217391306</v>
      </c>
    </row>
    <row r="152" spans="1:35" ht="54.75" x14ac:dyDescent="0.75">
      <c r="A152" s="59">
        <f t="shared" si="20"/>
        <v>39</v>
      </c>
      <c r="B152" s="60" t="str">
        <f t="shared" si="20"/>
        <v>BOTTOM HEM MARK &amp; WAIST LOOP POSITION MARK (4 LOOP)</v>
      </c>
      <c r="G152" s="25">
        <f>U60</f>
        <v>178.88198757763976</v>
      </c>
    </row>
    <row r="153" spans="1:35" x14ac:dyDescent="0.75">
      <c r="A153" s="59">
        <f>A61</f>
        <v>40</v>
      </c>
      <c r="B153" s="60" t="str">
        <f t="shared" ref="B153" si="21">B61</f>
        <v xml:space="preserve">BOTTOM HEM MAKE </v>
      </c>
      <c r="G153" s="25">
        <f>U61</f>
        <v>154.11517145312826</v>
      </c>
    </row>
    <row r="154" spans="1:35" x14ac:dyDescent="0.75">
      <c r="A154" s="59" t="str">
        <f>A63</f>
        <v>41A</v>
      </c>
      <c r="B154" s="60" t="str">
        <f>B63</f>
        <v>FRONT PKT BAG BTK ( 2 )</v>
      </c>
      <c r="G154" s="25">
        <f t="shared" ref="G154" si="22">U63</f>
        <v>139.13043478260872</v>
      </c>
    </row>
    <row r="155" spans="1:35" x14ac:dyDescent="0.75">
      <c r="A155" s="59" t="str">
        <f t="shared" ref="A155:B160" si="23">A64</f>
        <v>41B</v>
      </c>
      <c r="B155" s="60" t="str">
        <f t="shared" si="23"/>
        <v>FRONT BTK ( 2 )</v>
      </c>
      <c r="G155" s="25">
        <f t="shared" ref="G155:G160" si="24">U64</f>
        <v>136.10586011342156</v>
      </c>
    </row>
    <row r="156" spans="1:35" ht="36.5" x14ac:dyDescent="0.75">
      <c r="A156" s="59">
        <f t="shared" si="23"/>
        <v>42</v>
      </c>
      <c r="B156" s="60" t="str">
        <f t="shared" si="23"/>
        <v>BACK PKT  WITH REINFO BTK ( 4 )</v>
      </c>
      <c r="G156" s="25">
        <f t="shared" si="24"/>
        <v>149.06832298136646</v>
      </c>
    </row>
    <row r="157" spans="1:35" ht="36.5" x14ac:dyDescent="0.75">
      <c r="A157" s="59">
        <f t="shared" si="23"/>
        <v>43</v>
      </c>
      <c r="B157" s="60" t="str">
        <f t="shared" si="23"/>
        <v>WAIST LOOP ATTACH WITH  SUPPORT ( 7 LOOPS)</v>
      </c>
      <c r="G157" s="25">
        <f t="shared" si="24"/>
        <v>158.50302696752891</v>
      </c>
    </row>
    <row r="158" spans="1:35" x14ac:dyDescent="0.75">
      <c r="A158" s="59">
        <f t="shared" si="23"/>
        <v>44</v>
      </c>
      <c r="B158" s="60" t="str">
        <f t="shared" si="23"/>
        <v>FINAL TRIMMING</v>
      </c>
      <c r="G158" s="25">
        <f t="shared" si="24"/>
        <v>189.72332015810278</v>
      </c>
    </row>
    <row r="159" spans="1:35" ht="36.5" x14ac:dyDescent="0.75">
      <c r="A159" s="59">
        <f t="shared" si="23"/>
        <v>45</v>
      </c>
      <c r="B159" s="60" t="str">
        <f t="shared" si="23"/>
        <v xml:space="preserve">WAIST LOOP MAKE BY FOLDER &amp; MATCH </v>
      </c>
      <c r="G159" s="25">
        <f t="shared" si="24"/>
        <v>208.69565217391306</v>
      </c>
    </row>
    <row r="160" spans="1:35" x14ac:dyDescent="0.75">
      <c r="A160" s="59">
        <f t="shared" si="23"/>
        <v>46</v>
      </c>
      <c r="B160" s="60" t="str">
        <f t="shared" si="23"/>
        <v>WAIST MOUTH EYE HOLE</v>
      </c>
      <c r="G160" s="25">
        <f t="shared" si="24"/>
        <v>127.7728482697427</v>
      </c>
    </row>
    <row r="166" spans="2:5" x14ac:dyDescent="0.75">
      <c r="B166" s="54" t="s">
        <v>94</v>
      </c>
      <c r="C166" s="54" t="s">
        <v>95</v>
      </c>
      <c r="D166" s="54" t="s">
        <v>96</v>
      </c>
      <c r="E166" s="54" t="s">
        <v>97</v>
      </c>
    </row>
    <row r="167" spans="2:5" x14ac:dyDescent="0.75">
      <c r="B167" s="54">
        <v>1</v>
      </c>
      <c r="C167" s="54" t="s">
        <v>98</v>
      </c>
      <c r="D167" s="54" t="s">
        <v>99</v>
      </c>
      <c r="E167" s="54" t="s">
        <v>100</v>
      </c>
    </row>
    <row r="168" spans="2:5" x14ac:dyDescent="0.75">
      <c r="B168" s="54">
        <v>2</v>
      </c>
      <c r="C168" s="54" t="s">
        <v>101</v>
      </c>
      <c r="D168" s="54" t="s">
        <v>102</v>
      </c>
      <c r="E168" s="54" t="s">
        <v>100</v>
      </c>
    </row>
    <row r="169" spans="2:5" x14ac:dyDescent="0.75">
      <c r="B169" s="54">
        <v>3</v>
      </c>
      <c r="C169" s="54" t="s">
        <v>103</v>
      </c>
      <c r="D169" s="54" t="s">
        <v>104</v>
      </c>
      <c r="E169" s="54" t="s">
        <v>100</v>
      </c>
    </row>
    <row r="170" spans="2:5" ht="36.5" x14ac:dyDescent="0.75">
      <c r="B170" s="54">
        <v>4</v>
      </c>
      <c r="C170" s="54" t="s">
        <v>105</v>
      </c>
      <c r="D170" s="54" t="s">
        <v>106</v>
      </c>
      <c r="E170" s="54" t="s">
        <v>100</v>
      </c>
    </row>
    <row r="171" spans="2:5" x14ac:dyDescent="0.75">
      <c r="B171" s="54">
        <v>5</v>
      </c>
      <c r="C171" s="54" t="s">
        <v>36</v>
      </c>
      <c r="D171" s="54" t="s">
        <v>107</v>
      </c>
      <c r="E171" s="54" t="s">
        <v>100</v>
      </c>
    </row>
    <row r="172" spans="2:5" x14ac:dyDescent="0.75">
      <c r="B172" s="54">
        <v>6</v>
      </c>
      <c r="C172" s="54" t="s">
        <v>46</v>
      </c>
      <c r="D172" s="54" t="s">
        <v>108</v>
      </c>
      <c r="E172" s="54" t="s">
        <v>100</v>
      </c>
    </row>
    <row r="173" spans="2:5" x14ac:dyDescent="0.75">
      <c r="B173" s="54">
        <v>7</v>
      </c>
      <c r="C173" s="54" t="s">
        <v>44</v>
      </c>
      <c r="D173" s="54" t="s">
        <v>109</v>
      </c>
      <c r="E173" s="54" t="s">
        <v>109</v>
      </c>
    </row>
    <row r="174" spans="2:5" x14ac:dyDescent="0.75">
      <c r="B174" s="54">
        <v>8</v>
      </c>
      <c r="C174" s="54" t="s">
        <v>39</v>
      </c>
      <c r="D174" s="54" t="s">
        <v>110</v>
      </c>
      <c r="E174" s="54" t="s">
        <v>109</v>
      </c>
    </row>
    <row r="175" spans="2:5" x14ac:dyDescent="0.75">
      <c r="B175" s="54">
        <v>9</v>
      </c>
      <c r="C175" s="54" t="s">
        <v>49</v>
      </c>
      <c r="D175" s="54" t="s">
        <v>111</v>
      </c>
      <c r="E175" s="54" t="s">
        <v>112</v>
      </c>
    </row>
    <row r="176" spans="2:5" x14ac:dyDescent="0.75">
      <c r="B176" s="54">
        <v>10</v>
      </c>
      <c r="C176" s="54" t="s">
        <v>45</v>
      </c>
      <c r="D176" s="54" t="s">
        <v>113</v>
      </c>
      <c r="E176" s="54" t="s">
        <v>100</v>
      </c>
    </row>
    <row r="177" spans="2:5" x14ac:dyDescent="0.75">
      <c r="B177" s="54">
        <v>11</v>
      </c>
      <c r="C177" s="54" t="s">
        <v>114</v>
      </c>
      <c r="D177" s="54" t="s">
        <v>115</v>
      </c>
      <c r="E177" s="54" t="s">
        <v>100</v>
      </c>
    </row>
    <row r="178" spans="2:5" x14ac:dyDescent="0.75">
      <c r="B178" s="54">
        <v>12</v>
      </c>
      <c r="C178" s="54" t="s">
        <v>116</v>
      </c>
      <c r="D178" s="54" t="s">
        <v>116</v>
      </c>
      <c r="E178" s="54" t="s">
        <v>112</v>
      </c>
    </row>
  </sheetData>
  <autoFilter ref="B8:C76" xr:uid="{00000000-0009-0000-0000-000000000000}"/>
  <mergeCells count="55">
    <mergeCell ref="L6:M6"/>
    <mergeCell ref="T6:U6"/>
    <mergeCell ref="A7:U7"/>
    <mergeCell ref="A8:A9"/>
    <mergeCell ref="B8:B9"/>
    <mergeCell ref="C8:C9"/>
    <mergeCell ref="D8:D9"/>
    <mergeCell ref="E8:E9"/>
    <mergeCell ref="A18:A19"/>
    <mergeCell ref="A20:A21"/>
    <mergeCell ref="A22:A23"/>
    <mergeCell ref="A48:A49"/>
    <mergeCell ref="U8:U9"/>
    <mergeCell ref="A45:A46"/>
    <mergeCell ref="A1:U1"/>
    <mergeCell ref="A2:U2"/>
    <mergeCell ref="A3:U3"/>
    <mergeCell ref="G4:H4"/>
    <mergeCell ref="I4:J4"/>
    <mergeCell ref="L4:M4"/>
    <mergeCell ref="T4:U4"/>
    <mergeCell ref="F5:H5"/>
    <mergeCell ref="I5:J5"/>
    <mergeCell ref="L5:M5"/>
    <mergeCell ref="T5:U5"/>
    <mergeCell ref="F6:H6"/>
    <mergeCell ref="U18:U19"/>
    <mergeCell ref="U45:U46"/>
    <mergeCell ref="I6:J6"/>
    <mergeCell ref="S8:S9"/>
    <mergeCell ref="T8:T9"/>
    <mergeCell ref="D57:E57"/>
    <mergeCell ref="V8:V69"/>
    <mergeCell ref="U22:U23"/>
    <mergeCell ref="U20:U21"/>
    <mergeCell ref="F8:J8"/>
    <mergeCell ref="L8:L9"/>
    <mergeCell ref="M8:M9"/>
    <mergeCell ref="N8:P8"/>
    <mergeCell ref="R8:R9"/>
    <mergeCell ref="U54:U56"/>
    <mergeCell ref="U61:U62"/>
    <mergeCell ref="U48:U49"/>
    <mergeCell ref="A104:B104"/>
    <mergeCell ref="C104:D104"/>
    <mergeCell ref="E104:F104"/>
    <mergeCell ref="Q104:R104"/>
    <mergeCell ref="S104:U104"/>
    <mergeCell ref="A54:A56"/>
    <mergeCell ref="A61:A62"/>
    <mergeCell ref="A71:U71"/>
    <mergeCell ref="G72:L73"/>
    <mergeCell ref="C74:F74"/>
    <mergeCell ref="G74:L74"/>
    <mergeCell ref="M74:P74"/>
  </mergeCells>
  <conditionalFormatting sqref="U10:U18 U20 U22 U24:U45 U47:U48 U50:U54 U57:U61 U64:U69">
    <cfRule type="colorScale" priority="8">
      <colorScale>
        <cfvo type="num" val="$J$5"/>
        <cfvo type="num" val="190"/>
        <color theme="9" tint="0.39997558519241921"/>
        <color rgb="FF92D050"/>
      </colorScale>
    </cfRule>
  </conditionalFormatting>
  <conditionalFormatting sqref="U10:U18 U20 U22 U24:U45 U47:U48 U50:U54 U57:U61">
    <cfRule type="cellIs" dxfId="1" priority="7" operator="lessThan">
      <formula>$J$5</formula>
    </cfRule>
  </conditionalFormatting>
  <conditionalFormatting sqref="U63">
    <cfRule type="colorScale" priority="2">
      <colorScale>
        <cfvo type="num" val="$J$5"/>
        <cfvo type="num" val="190"/>
        <color theme="9" tint="0.39997558519241921"/>
        <color rgb="FF92D050"/>
      </colorScale>
    </cfRule>
  </conditionalFormatting>
  <conditionalFormatting sqref="U63:U69">
    <cfRule type="cellIs" dxfId="0" priority="1" operator="lessThan">
      <formula>$J$5</formula>
    </cfRule>
  </conditionalFormatting>
  <printOptions horizontalCentered="1"/>
  <pageMargins left="0" right="0" top="0" bottom="0" header="0" footer="0"/>
  <pageSetup paperSize="9" scale="40" orientation="landscape" blackAndWhite="1" r:id="rId1"/>
  <rowBreaks count="1" manualBreakCount="1">
    <brk id="70" max="20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E14"/>
  <sheetViews>
    <sheetView workbookViewId="0">
      <selection activeCell="B1" sqref="B1"/>
    </sheetView>
  </sheetViews>
  <sheetFormatPr defaultColWidth="9.1328125" defaultRowHeight="14.75" x14ac:dyDescent="0.75"/>
  <cols>
    <col min="1" max="1" width="9.1328125" style="74"/>
    <col min="2" max="2" width="7.26953125" style="74" bestFit="1" customWidth="1"/>
    <col min="3" max="3" width="13.54296875" style="74" bestFit="1" customWidth="1"/>
    <col min="4" max="4" width="25.86328125" style="74" bestFit="1" customWidth="1"/>
    <col min="5" max="5" width="9.86328125" style="74" bestFit="1" customWidth="1"/>
    <col min="6" max="16384" width="9.1328125" style="74"/>
  </cols>
  <sheetData>
    <row r="2" spans="2:5" ht="18.75" customHeight="1" x14ac:dyDescent="0.75">
      <c r="B2" s="73" t="s">
        <v>94</v>
      </c>
      <c r="C2" s="73" t="s">
        <v>95</v>
      </c>
      <c r="D2" s="73" t="s">
        <v>96</v>
      </c>
      <c r="E2" s="73" t="s">
        <v>97</v>
      </c>
    </row>
    <row r="3" spans="2:5" ht="18.75" customHeight="1" x14ac:dyDescent="0.75">
      <c r="B3" s="75">
        <v>1</v>
      </c>
      <c r="C3" s="75" t="s">
        <v>98</v>
      </c>
      <c r="D3" s="75" t="s">
        <v>99</v>
      </c>
      <c r="E3" s="75" t="s">
        <v>100</v>
      </c>
    </row>
    <row r="4" spans="2:5" ht="18.75" customHeight="1" x14ac:dyDescent="0.75">
      <c r="B4" s="75">
        <v>2</v>
      </c>
      <c r="C4" s="75" t="s">
        <v>101</v>
      </c>
      <c r="D4" s="75" t="s">
        <v>102</v>
      </c>
      <c r="E4" s="75" t="s">
        <v>100</v>
      </c>
    </row>
    <row r="5" spans="2:5" ht="18.75" customHeight="1" x14ac:dyDescent="0.75">
      <c r="B5" s="75">
        <v>3</v>
      </c>
      <c r="C5" s="75" t="s">
        <v>103</v>
      </c>
      <c r="D5" s="75" t="s">
        <v>104</v>
      </c>
      <c r="E5" s="75" t="s">
        <v>100</v>
      </c>
    </row>
    <row r="6" spans="2:5" ht="18.75" customHeight="1" x14ac:dyDescent="0.75">
      <c r="B6" s="75">
        <v>4</v>
      </c>
      <c r="C6" s="75" t="s">
        <v>105</v>
      </c>
      <c r="D6" s="75" t="s">
        <v>106</v>
      </c>
      <c r="E6" s="75" t="s">
        <v>100</v>
      </c>
    </row>
    <row r="7" spans="2:5" ht="18.75" customHeight="1" x14ac:dyDescent="0.75">
      <c r="B7" s="75">
        <v>5</v>
      </c>
      <c r="C7" s="75" t="s">
        <v>36</v>
      </c>
      <c r="D7" s="75" t="s">
        <v>107</v>
      </c>
      <c r="E7" s="75" t="s">
        <v>100</v>
      </c>
    </row>
    <row r="8" spans="2:5" ht="18.75" customHeight="1" x14ac:dyDescent="0.75">
      <c r="B8" s="75">
        <v>6</v>
      </c>
      <c r="C8" s="75" t="s">
        <v>46</v>
      </c>
      <c r="D8" s="75" t="s">
        <v>108</v>
      </c>
      <c r="E8" s="75" t="s">
        <v>100</v>
      </c>
    </row>
    <row r="9" spans="2:5" ht="18.75" customHeight="1" x14ac:dyDescent="0.75">
      <c r="B9" s="75">
        <v>7</v>
      </c>
      <c r="C9" s="75" t="s">
        <v>44</v>
      </c>
      <c r="D9" s="75" t="s">
        <v>109</v>
      </c>
      <c r="E9" s="75" t="s">
        <v>109</v>
      </c>
    </row>
    <row r="10" spans="2:5" ht="18.75" customHeight="1" x14ac:dyDescent="0.75">
      <c r="B10" s="75">
        <v>8</v>
      </c>
      <c r="C10" s="75" t="s">
        <v>39</v>
      </c>
      <c r="D10" s="75" t="s">
        <v>110</v>
      </c>
      <c r="E10" s="75" t="s">
        <v>109</v>
      </c>
    </row>
    <row r="11" spans="2:5" ht="18.75" customHeight="1" x14ac:dyDescent="0.75">
      <c r="B11" s="75">
        <v>9</v>
      </c>
      <c r="C11" s="75" t="s">
        <v>49</v>
      </c>
      <c r="D11" s="75" t="s">
        <v>111</v>
      </c>
      <c r="E11" s="75" t="s">
        <v>112</v>
      </c>
    </row>
    <row r="12" spans="2:5" ht="18.75" customHeight="1" x14ac:dyDescent="0.75">
      <c r="B12" s="75">
        <v>10</v>
      </c>
      <c r="C12" s="75" t="s">
        <v>45</v>
      </c>
      <c r="D12" s="75" t="s">
        <v>113</v>
      </c>
      <c r="E12" s="75" t="s">
        <v>100</v>
      </c>
    </row>
    <row r="13" spans="2:5" ht="18.75" customHeight="1" x14ac:dyDescent="0.75">
      <c r="B13" s="75">
        <v>11</v>
      </c>
      <c r="C13" s="75" t="s">
        <v>114</v>
      </c>
      <c r="D13" s="75" t="s">
        <v>115</v>
      </c>
      <c r="E13" s="75" t="s">
        <v>100</v>
      </c>
    </row>
    <row r="14" spans="2:5" ht="18.75" customHeight="1" x14ac:dyDescent="0.75">
      <c r="B14" s="75">
        <v>12</v>
      </c>
      <c r="C14" s="75" t="s">
        <v>116</v>
      </c>
      <c r="D14" s="75" t="s">
        <v>116</v>
      </c>
      <c r="E14" s="75" t="s">
        <v>112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NON -BALANCING</vt:lpstr>
      <vt:lpstr>Sheet1</vt:lpstr>
      <vt:lpstr>'NON -BALANCING'!Print_Area</vt:lpstr>
    </vt:vector>
  </TitlesOfParts>
  <Company>home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ismail - [2010]</dc:creator>
  <cp:lastModifiedBy>Horacio Bobadilla</cp:lastModifiedBy>
  <cp:lastPrinted>2026-01-19T09:59:32Z</cp:lastPrinted>
  <dcterms:created xsi:type="dcterms:W3CDTF">2015-06-10T06:40:15Z</dcterms:created>
  <dcterms:modified xsi:type="dcterms:W3CDTF">2026-01-22T14:51:39Z</dcterms:modified>
</cp:coreProperties>
</file>